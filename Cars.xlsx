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esktop\Folders combine\Advance\Excel\Nigeria Car\"/>
    </mc:Choice>
  </mc:AlternateContent>
  <xr:revisionPtr revIDLastSave="0" documentId="13_ncr:1_{2D1E1C55-2348-47BC-908E-192B9C9023FC}" xr6:coauthVersionLast="47" xr6:coauthVersionMax="47" xr10:uidLastSave="{00000000-0000-0000-0000-000000000000}"/>
  <bookViews>
    <workbookView xWindow="-120" yWindow="-120" windowWidth="19440" windowHeight="11790" activeTab="2" xr2:uid="{D6F6338A-846F-4D9D-847F-3362BDA28B9E}"/>
  </bookViews>
  <sheets>
    <sheet name="car45_data" sheetId="2" r:id="rId1"/>
    <sheet name="Analysis" sheetId="1" r:id="rId2"/>
    <sheet name="Dashboard" sheetId="3" r:id="rId3"/>
  </sheets>
  <definedNames>
    <definedName name="_xlchart.v5.0" hidden="1">Analysis!$J$2</definedName>
    <definedName name="_xlchart.v5.1" hidden="1">Analysis!$J$3:$J$15</definedName>
    <definedName name="_xlchart.v5.2" hidden="1">Analysis!$K$2</definedName>
    <definedName name="_xlchart.v5.3" hidden="1">Analysis!$K$3:$K$15</definedName>
    <definedName name="ExternalData_1" localSheetId="0" hidden="1">'car45_data'!$A$1:$W$2895</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J4" i="1"/>
  <c r="J5" i="1"/>
  <c r="J6" i="1"/>
  <c r="J7" i="1"/>
  <c r="J8" i="1"/>
  <c r="J9" i="1"/>
  <c r="J10" i="1"/>
  <c r="J11" i="1"/>
  <c r="J12" i="1"/>
  <c r="J13" i="1"/>
  <c r="J14" i="1"/>
  <c r="J15" i="1"/>
  <c r="J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033903-8356-4CC0-878C-FBFCE99A7FBB}"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<sst xmlns="http://schemas.openxmlformats.org/spreadsheetml/2006/main" count="43496" uniqueCount="2973">
  <si>
    <t>Column1</t>
  </si>
  <si>
    <t>description</t>
  </si>
  <si>
    <t>amount</t>
  </si>
  <si>
    <t>States</t>
  </si>
  <si>
    <t>Cities.1</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</si>
  <si>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</si>
  <si>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</si>
  <si>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</si>
  <si>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</si>
  <si>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</si>
  <si>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</si>
  <si>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</si>
  <si>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</si>
  <si>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</si>
  <si>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</si>
  <si>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</si>
  <si>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</si>
  <si>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</si>
  <si>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</si>
  <si>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</si>
  <si>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</si>
  <si>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</si>
  <si>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</si>
  <si>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</si>
  <si>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</si>
  <si>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</si>
  <si>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</si>
  <si>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</si>
  <si>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</si>
  <si>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</si>
  <si>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</si>
  <si>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</si>
  <si>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</si>
  <si>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</si>
  <si>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</si>
  <si>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</si>
  <si>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</si>
  <si>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</si>
  <si>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</si>
  <si>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</si>
  <si>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</si>
  <si>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</si>
  <si>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</si>
  <si>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</si>
  <si>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</si>
  <si>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</si>
  <si>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</si>
  <si>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</si>
  <si>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</si>
  <si>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</si>
  <si>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</si>
  <si>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</si>
  <si>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</si>
  <si>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</si>
  <si>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</si>
  <si>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</si>
  <si>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</si>
  <si>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</si>
  <si>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</si>
  <si>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</si>
  <si>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</si>
  <si>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</si>
  <si>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</si>
  <si>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</si>
  <si>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</si>
  <si>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</si>
  <si>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</si>
  <si>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</si>
  <si>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</si>
  <si>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</si>
  <si>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</si>
  <si>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</si>
  <si>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</si>
  <si>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</si>
  <si>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</si>
  <si>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</si>
  <si>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</si>
  <si>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</si>
  <si>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</si>
  <si>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</si>
  <si>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</si>
  <si>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</si>
  <si>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</si>
  <si>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</si>
  <si>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</si>
  <si>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</si>
  <si>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</si>
  <si>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</si>
  <si>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</si>
  <si>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</si>
  <si>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</si>
  <si>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</si>
  <si>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</si>
  <si>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</si>
  <si>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</si>
  <si>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</si>
  <si>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</si>
  <si>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</si>
  <si>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</si>
  <si>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</si>
  <si>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</si>
  <si>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</si>
  <si>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</si>
  <si>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</si>
  <si>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</si>
  <si>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</si>
  <si>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</si>
  <si>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</si>
  <si>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</si>
  <si>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</si>
  <si>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</si>
  <si>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</si>
  <si>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</si>
  <si>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</si>
  <si>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</si>
  <si>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</si>
  <si>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</si>
  <si>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</si>
  <si>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</si>
  <si>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</si>
  <si>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</si>
  <si>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</si>
  <si>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</si>
  <si>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</si>
  <si>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</si>
  <si>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</si>
  <si>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</si>
  <si>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</si>
  <si>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</si>
  <si>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</si>
  <si>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</si>
  <si>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</si>
  <si>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</si>
  <si>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</si>
  <si>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</si>
  <si>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</si>
  <si>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</si>
  <si>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</si>
  <si>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</si>
  <si>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</si>
  <si>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</si>
  <si>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</si>
  <si>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</si>
  <si>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</si>
  <si>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</si>
  <si>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</si>
  <si>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</si>
  <si>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</si>
  <si>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</si>
  <si>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</si>
  <si>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</si>
  <si>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</si>
  <si>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</si>
  <si>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</si>
  <si>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</si>
  <si>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</si>
  <si>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</si>
  <si>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</si>
  <si>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</si>
  <si>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</si>
  <si>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</si>
  <si>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</si>
  <si>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</si>
  <si>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</si>
  <si>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</si>
  <si>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</si>
  <si>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</si>
  <si>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</si>
  <si>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</si>
  <si>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</si>
  <si>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</si>
  <si>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</si>
  <si>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</si>
  <si>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</si>
  <si>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</si>
  <si>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</si>
  <si>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</si>
  <si>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</si>
  <si>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</si>
  <si>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</si>
  <si>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</si>
  <si>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</si>
  <si>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</si>
  <si>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</si>
  <si>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</si>
  <si>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</si>
  <si>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</si>
  <si>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</si>
  <si>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</si>
  <si>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</si>
  <si>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</si>
  <si>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</si>
  <si>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</si>
  <si>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</si>
  <si>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</si>
  <si>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</si>
  <si>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</si>
  <si>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</si>
  <si>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</si>
  <si>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</si>
  <si>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</si>
  <si>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</si>
  <si>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</si>
  <si>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</si>
  <si>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</si>
  <si>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</si>
  <si>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</si>
  <si>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</si>
  <si>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</si>
  <si>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</si>
  <si>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</si>
  <si>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</si>
  <si>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</si>
  <si>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</si>
  <si>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</si>
  <si>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</si>
  <si>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</si>
  <si>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</si>
  <si>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</si>
  <si>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</si>
  <si>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</si>
  <si>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</si>
  <si>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</si>
  <si>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</si>
  <si>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</si>
  <si>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</si>
  <si>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</si>
  <si>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</si>
  <si>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</si>
  <si>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</si>
  <si>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</si>
  <si>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</si>
  <si>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</si>
  <si>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</si>
  <si>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</si>
  <si>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</si>
  <si>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</si>
  <si>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</si>
  <si>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</si>
  <si>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</si>
  <si>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</si>
  <si>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</si>
  <si>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</si>
  <si>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</si>
  <si>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</si>
  <si>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</si>
  <si>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</si>
  <si>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</si>
  <si>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</si>
  <si>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</si>
  <si>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</si>
  <si>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</si>
  <si>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</si>
  <si>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</si>
  <si>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</si>
  <si>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</si>
  <si>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</si>
  <si>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</si>
  <si>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</si>
  <si>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</si>
  <si>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</si>
  <si>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</si>
  <si>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</si>
  <si>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</si>
  <si>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</si>
  <si>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</si>
  <si>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</si>
  <si>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</si>
  <si>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</si>
  <si>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</si>
  <si>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</si>
  <si>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</si>
  <si>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</si>
  <si>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</si>
  <si>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</si>
  <si>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</si>
  <si>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</si>
  <si>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</si>
  <si>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</si>
  <si>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</si>
  <si>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</si>
  <si>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</si>
  <si>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</si>
  <si>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</si>
  <si>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</si>
  <si>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</si>
  <si>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</si>
  <si>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</si>
  <si>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</si>
  <si>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</si>
  <si>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</si>
  <si>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</si>
  <si>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</si>
  <si>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</si>
  <si>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</si>
  <si>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</si>
  <si>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</si>
  <si>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</si>
  <si>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</si>
  <si>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</si>
  <si>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</si>
  <si>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</si>
  <si>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</si>
  <si>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</si>
  <si>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</si>
  <si>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</si>
  <si>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</si>
  <si>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</si>
  <si>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</si>
  <si>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</si>
  <si>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</si>
  <si>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</si>
  <si>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</si>
  <si>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</si>
  <si>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</si>
  <si>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</si>
  <si>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</si>
  <si>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</si>
  <si>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</si>
  <si>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</si>
  <si>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</si>
  <si>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</si>
  <si>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</si>
  <si>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</si>
  <si>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</si>
  <si>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</si>
  <si>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</si>
  <si>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</si>
  <si>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</si>
  <si>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</si>
  <si>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</si>
  <si>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</si>
  <si>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</si>
  <si>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</si>
  <si>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</si>
  <si>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</si>
  <si>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</si>
  <si>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</si>
  <si>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</si>
  <si>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</si>
  <si>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</si>
  <si>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</si>
  <si>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</si>
  <si>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</si>
  <si>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</si>
  <si>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</si>
  <si>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</si>
  <si>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</si>
  <si>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</si>
  <si>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</si>
  <si>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</si>
  <si>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</si>
  <si>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</si>
  <si>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</si>
  <si>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</si>
  <si>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</si>
  <si>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</si>
  <si>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</si>
  <si>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</si>
  <si>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</si>
  <si>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</si>
  <si>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</si>
  <si>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</si>
  <si>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</si>
  <si>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</si>
  <si>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</si>
  <si>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</si>
  <si>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</si>
  <si>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</si>
  <si>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</si>
  <si>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</si>
  <si>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</si>
  <si>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</si>
  <si>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</si>
  <si>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</si>
  <si>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</si>
  <si>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</si>
  <si>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</si>
  <si>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</si>
  <si>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</si>
  <si>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</si>
  <si>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</si>
  <si>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</si>
  <si>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</si>
  <si>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</si>
  <si>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</si>
  <si>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</si>
  <si>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</si>
  <si>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</si>
  <si>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</si>
  <si>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</si>
  <si>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</si>
  <si>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</si>
  <si>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</si>
  <si>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</si>
  <si>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</si>
  <si>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</si>
  <si>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</si>
  <si>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</si>
  <si>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</si>
  <si>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</si>
  <si>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</si>
  <si>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</si>
  <si>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</si>
  <si>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</si>
  <si>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</si>
  <si>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</si>
  <si>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</si>
  <si>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</si>
  <si>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</si>
  <si>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</si>
  <si>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</si>
  <si>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</si>
  <si>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</si>
  <si>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</si>
  <si>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</si>
  <si>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</si>
  <si>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</si>
  <si>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</si>
  <si>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</si>
  <si>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</si>
  <si>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</si>
  <si>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</si>
  <si>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</si>
  <si>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</si>
  <si>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</si>
  <si>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</si>
  <si>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</si>
  <si>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</si>
  <si>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</si>
  <si>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</si>
  <si>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</si>
  <si>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</si>
  <si>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</si>
  <si>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</si>
  <si>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</si>
  <si>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</si>
  <si>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</si>
  <si>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</si>
  <si>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</si>
  <si>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</si>
  <si>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</si>
  <si>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</si>
  <si>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</si>
  <si>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</si>
  <si>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</si>
  <si>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</si>
  <si>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</si>
  <si>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</si>
  <si>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</si>
  <si>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</si>
  <si>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</si>
  <si>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</si>
  <si>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</si>
  <si>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</si>
  <si>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</si>
  <si>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</si>
  <si>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</si>
  <si>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</si>
  <si>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</si>
  <si>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</si>
  <si>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</si>
  <si>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</si>
  <si>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</si>
  <si>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</si>
  <si>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</si>
  <si>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</si>
  <si>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</si>
  <si>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</si>
  <si>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</si>
  <si>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</si>
  <si>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</si>
  <si>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</si>
  <si>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</si>
  <si>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</si>
  <si>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</si>
  <si>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</si>
  <si>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</si>
  <si>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</si>
  <si>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</si>
  <si>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</si>
  <si>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</si>
  <si>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</si>
  <si>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</si>
  <si>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</si>
  <si>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</si>
  <si>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</si>
  <si>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</si>
  <si>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</si>
  <si>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</si>
  <si>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</si>
  <si>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</si>
  <si>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</si>
  <si>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</si>
  <si>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</si>
  <si>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</si>
  <si>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</si>
  <si>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</si>
  <si>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</si>
  <si>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</si>
  <si>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</si>
  <si>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</si>
  <si>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</si>
  <si>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</si>
  <si>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</si>
  <si>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</si>
  <si>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</si>
  <si>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</si>
  <si>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</si>
  <si>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</si>
  <si>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</si>
  <si>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</si>
  <si>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</si>
  <si>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</si>
  <si>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</si>
  <si>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</si>
  <si>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</si>
  <si>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</si>
  <si>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</si>
  <si>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</si>
  <si>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</si>
  <si>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</si>
  <si>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</si>
  <si>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</si>
  <si>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</si>
  <si>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</si>
  <si>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</si>
  <si>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</si>
  <si>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</si>
  <si>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</si>
  <si>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</si>
  <si>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</si>
  <si>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</si>
  <si>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</si>
  <si>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</si>
  <si>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</si>
  <si>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</si>
  <si>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</si>
  <si>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</si>
  <si>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</si>
  <si>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</si>
  <si>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</si>
  <si>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</si>
  <si>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</si>
  <si>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</si>
  <si>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</si>
  <si>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</si>
  <si>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</si>
  <si>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</si>
  <si>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</si>
  <si>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</si>
  <si>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</si>
  <si>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</si>
  <si>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</si>
  <si>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</si>
  <si>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</si>
  <si>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</si>
  <si>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</si>
  <si>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</si>
  <si>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</si>
  <si>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</si>
  <si>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</si>
  <si>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</si>
  <si>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</si>
  <si>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</si>
  <si>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</si>
  <si>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</si>
  <si>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</si>
  <si>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</si>
  <si>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</si>
  <si>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</si>
  <si>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</si>
  <si>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</si>
  <si>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</si>
  <si>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</si>
  <si>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</si>
  <si>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</si>
  <si>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</si>
  <si>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</si>
  <si>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</si>
  <si>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</si>
  <si>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</si>
  <si>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</si>
  <si>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</si>
  <si>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</si>
  <si>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</si>
  <si>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</si>
  <si>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</si>
  <si>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</si>
  <si>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</si>
  <si>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</si>
  <si>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</si>
  <si>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</si>
  <si>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</si>
  <si>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</si>
  <si>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</si>
  <si>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</si>
  <si>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</si>
  <si>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</si>
  <si>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</si>
  <si>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</si>
  <si>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</si>
  <si>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</si>
  <si>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</si>
  <si>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</si>
  <si>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</si>
  <si>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</si>
  <si>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</si>
  <si>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</si>
  <si>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</si>
  <si>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</si>
  <si>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</si>
  <si>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</si>
  <si>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</si>
  <si>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</si>
  <si>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</si>
  <si>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</si>
  <si>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</si>
  <si>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</si>
  <si>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</si>
  <si>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</si>
  <si>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</si>
  <si>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</si>
  <si>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</si>
  <si>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</si>
  <si>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</si>
  <si>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</si>
  <si>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</si>
  <si>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</si>
  <si>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</si>
  <si>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</si>
  <si>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</si>
  <si>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</si>
  <si>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</si>
  <si>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</si>
  <si>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</si>
  <si>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</si>
  <si>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</si>
  <si>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</si>
  <si>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</si>
  <si>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</si>
  <si>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</si>
  <si>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</si>
  <si>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</si>
  <si>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</si>
  <si>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</si>
  <si>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</si>
  <si>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</si>
  <si>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</si>
  <si>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</si>
  <si>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</si>
  <si>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</si>
  <si>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</si>
  <si>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</si>
  <si>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</si>
  <si>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</si>
  <si>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</si>
  <si>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</si>
  <si>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</si>
  <si>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</si>
  <si>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</si>
  <si>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</si>
  <si>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</si>
  <si>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</si>
  <si>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</si>
  <si>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</si>
  <si>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</si>
  <si>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</si>
  <si>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</si>
  <si>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</si>
  <si>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</si>
  <si>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</si>
  <si>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</si>
  <si>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</si>
  <si>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</si>
  <si>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</si>
  <si>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</si>
  <si>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</si>
  <si>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</si>
  <si>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</si>
  <si>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</si>
  <si>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</si>
  <si>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</si>
  <si>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</si>
  <si>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</si>
  <si>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</si>
  <si>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</si>
  <si>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</si>
  <si>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</si>
  <si>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</si>
  <si>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</si>
  <si>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</si>
  <si>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</si>
  <si>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</si>
  <si>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</si>
  <si>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</si>
  <si>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</si>
  <si>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</si>
  <si>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</si>
  <si>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</si>
  <si>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</si>
  <si>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</si>
  <si>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</si>
  <si>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</si>
  <si>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</si>
  <si>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</si>
  <si>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</si>
  <si>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</si>
  <si>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</si>
  <si>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</si>
  <si>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</si>
  <si>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</si>
  <si>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</si>
  <si>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</si>
  <si>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</si>
  <si>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</si>
  <si>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</si>
  <si>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</si>
  <si>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</si>
  <si>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</si>
  <si>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</si>
  <si>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</si>
  <si>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</si>
  <si>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</si>
  <si>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</si>
  <si>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</si>
  <si>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</si>
  <si>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</si>
  <si>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</si>
  <si>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</si>
  <si>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</si>
  <si>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</si>
  <si>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</si>
  <si>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</si>
  <si>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</si>
  <si>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</si>
  <si>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</si>
  <si>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</si>
  <si>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</si>
  <si>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</si>
  <si>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</si>
  <si>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</si>
  <si>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</si>
  <si>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</si>
  <si>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</si>
  <si>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</si>
  <si>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</si>
  <si>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</si>
  <si>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</si>
  <si>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</si>
  <si>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</si>
  <si>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</si>
  <si>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</si>
  <si>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</si>
  <si>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</si>
  <si>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</si>
  <si>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</si>
  <si>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</si>
  <si>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</si>
  <si>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</si>
  <si>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</si>
  <si>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</si>
  <si>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</si>
  <si>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</si>
  <si>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</si>
  <si>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</si>
  <si>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</si>
  <si>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</si>
  <si>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</si>
  <si>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</si>
  <si>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</si>
  <si>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</si>
  <si>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</si>
  <si>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</si>
  <si>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</si>
  <si>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</si>
  <si>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</si>
  <si>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</si>
  <si>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</si>
  <si>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</si>
  <si>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</si>
  <si>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</si>
  <si>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</si>
  <si>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</si>
  <si>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</si>
  <si>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</si>
  <si>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</si>
  <si>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</si>
  <si>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</si>
  <si>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</si>
  <si>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</si>
  <si>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</si>
  <si>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</si>
  <si>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</si>
  <si>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</si>
  <si>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</si>
  <si>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</si>
  <si>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</si>
  <si>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</si>
  <si>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</si>
  <si>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</si>
  <si>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</si>
  <si>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</si>
  <si>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</si>
  <si>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</si>
  <si>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</si>
  <si>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</si>
  <si>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</si>
  <si>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</si>
  <si>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</si>
  <si>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</si>
  <si>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</si>
  <si>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</si>
  <si>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</si>
  <si>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</si>
  <si>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</si>
  <si>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</si>
  <si>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</si>
  <si>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</si>
  <si>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</si>
  <si>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</si>
  <si>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</si>
  <si>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</si>
  <si>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</si>
  <si>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</si>
  <si>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</si>
  <si>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</si>
  <si>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</si>
  <si>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</si>
  <si>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</si>
  <si>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</si>
  <si>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</si>
  <si>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</si>
  <si>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</si>
  <si>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</si>
  <si>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</si>
  <si>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</si>
  <si>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</si>
  <si>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</si>
  <si>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</si>
  <si>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</si>
  <si>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</si>
  <si>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</si>
  <si>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</si>
  <si>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</si>
  <si>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</si>
  <si>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</si>
  <si>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</si>
  <si>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</si>
  <si>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</si>
  <si>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</si>
  <si>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</si>
  <si>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</si>
  <si>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</si>
  <si>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</si>
  <si>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</si>
  <si>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</si>
  <si>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</si>
  <si>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</si>
  <si>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</si>
  <si>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</si>
  <si>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</si>
  <si>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</si>
  <si>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</si>
  <si>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</si>
  <si>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</si>
  <si>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</si>
  <si>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</si>
  <si>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</si>
  <si>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</si>
  <si>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</si>
  <si>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</si>
  <si>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</si>
  <si>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</si>
  <si>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</si>
  <si>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</si>
  <si>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</si>
  <si>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</si>
  <si>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</si>
  <si>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</si>
  <si>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</si>
  <si>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</si>
  <si>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</si>
  <si>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</si>
  <si>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</si>
  <si>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</si>
  <si>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</si>
  <si>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</si>
  <si>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</si>
  <si>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</si>
  <si>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</si>
  <si>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</si>
  <si>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</si>
  <si>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</si>
  <si>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</si>
  <si>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</si>
  <si>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</si>
  <si>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</si>
  <si>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</si>
  <si>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</si>
  <si>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</si>
  <si>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</si>
  <si>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</si>
  <si>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</si>
  <si>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</si>
  <si>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</si>
  <si>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</si>
  <si>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</si>
  <si>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</si>
  <si>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</si>
  <si>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</si>
  <si>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</si>
  <si>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</si>
  <si>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</si>
  <si>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</si>
  <si>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</si>
  <si>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</si>
  <si>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</si>
  <si>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</si>
  <si>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</si>
  <si>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</si>
  <si>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</si>
  <si>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</si>
  <si>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</si>
  <si>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</si>
  <si>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</si>
  <si>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</si>
  <si>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</si>
  <si>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</si>
  <si>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</si>
  <si>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</si>
  <si>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</si>
  <si>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</si>
  <si>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</si>
  <si>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</si>
  <si>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</si>
  <si>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</si>
  <si>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</si>
  <si>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</si>
  <si>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</si>
  <si>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</si>
  <si>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</si>
  <si>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</si>
  <si>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</si>
  <si>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</si>
  <si>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</si>
  <si>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</si>
  <si>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</si>
  <si>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</si>
  <si>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</si>
  <si>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</si>
  <si>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</si>
  <si>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</si>
  <si>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</si>
  <si>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</si>
  <si>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</si>
  <si>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</si>
  <si>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</si>
  <si>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</si>
  <si>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</si>
  <si>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</si>
  <si>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</si>
  <si>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</si>
  <si>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</si>
  <si>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</si>
  <si>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</si>
  <si>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</si>
  <si>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</si>
  <si>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</si>
  <si>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</si>
  <si>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</si>
  <si>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</si>
  <si>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</si>
  <si>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</si>
  <si>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</si>
  <si>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</si>
  <si>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</si>
  <si>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</si>
  <si>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</si>
  <si>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</si>
  <si>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</si>
  <si>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</si>
  <si>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</si>
  <si>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</si>
  <si>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</si>
  <si>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</si>
  <si>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</si>
  <si>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</si>
  <si>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</si>
  <si>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</si>
  <si>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</si>
  <si>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</si>
  <si>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</si>
  <si>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</si>
  <si>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</si>
  <si>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</si>
  <si>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</si>
  <si>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</si>
  <si>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</si>
  <si>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</si>
  <si>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</si>
  <si>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</si>
  <si>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</si>
  <si>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</si>
  <si>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</si>
  <si>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</si>
  <si>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</si>
  <si>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</si>
  <si>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</si>
  <si>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</si>
  <si>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</si>
  <si>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</si>
  <si>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</si>
  <si>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</si>
  <si>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</si>
  <si>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</si>
  <si>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</si>
  <si>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</si>
  <si>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</si>
  <si>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</si>
  <si>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</si>
  <si>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</si>
  <si>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</si>
  <si>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</si>
  <si>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</si>
  <si>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</si>
  <si>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</si>
  <si>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</si>
  <si>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</si>
  <si>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</si>
  <si>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</si>
  <si>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</si>
  <si>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</si>
  <si>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</si>
  <si>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</si>
  <si>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</si>
  <si>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</si>
  <si>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</si>
  <si>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</si>
  <si>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</si>
  <si>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</si>
  <si>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</si>
  <si>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</si>
  <si>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</si>
  <si>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</si>
  <si>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</si>
  <si>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</si>
  <si>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</si>
  <si>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</si>
  <si>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</si>
  <si>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</si>
  <si>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</si>
  <si>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</si>
  <si>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</si>
  <si>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</si>
  <si>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</si>
  <si>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</si>
  <si>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</si>
  <si>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</si>
  <si>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</si>
  <si>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</si>
  <si>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</si>
  <si>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</si>
  <si>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</si>
  <si>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</si>
  <si>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</si>
  <si>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</si>
  <si>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</si>
  <si>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</si>
  <si>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</si>
  <si>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</si>
  <si>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</si>
  <si>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</si>
  <si>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</si>
  <si>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</si>
  <si>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</si>
  <si>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</si>
  <si>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</si>
  <si>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</si>
  <si>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</si>
  <si>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</si>
  <si>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</si>
  <si>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</si>
  <si>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</si>
  <si>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</si>
  <si>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</si>
  <si>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</si>
  <si>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</si>
  <si>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</si>
  <si>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</si>
  <si>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</si>
  <si>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</si>
  <si>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</si>
  <si>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</si>
  <si>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</si>
  <si>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</si>
  <si>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</si>
  <si>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</si>
  <si>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</si>
  <si>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</si>
  <si>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</si>
  <si>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</si>
  <si>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</si>
  <si>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</si>
  <si>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</si>
  <si>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</si>
  <si>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</si>
  <si>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</si>
  <si>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</si>
  <si>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</si>
  <si>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</si>
  <si>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</si>
  <si>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</si>
  <si>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</si>
  <si>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</si>
  <si>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</si>
  <si>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</si>
  <si>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</si>
  <si>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</si>
  <si>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</si>
  <si>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</si>
  <si>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</si>
  <si>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</si>
  <si>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</si>
  <si>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</si>
  <si>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</si>
  <si>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</si>
  <si>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</si>
  <si>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</si>
  <si>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</si>
  <si>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</si>
  <si>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</si>
  <si>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</si>
  <si>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</si>
  <si>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</si>
  <si>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</si>
  <si>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</si>
  <si>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</si>
  <si>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</si>
  <si>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</si>
  <si>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</si>
  <si>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</si>
  <si>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</si>
  <si>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</si>
  <si>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</si>
  <si>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</si>
  <si>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</si>
  <si>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</si>
  <si>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</si>
  <si>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</si>
  <si>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</si>
  <si>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</si>
  <si>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</si>
  <si>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</si>
  <si>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</si>
  <si>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</si>
  <si>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</si>
  <si>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</si>
  <si>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</si>
  <si>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</si>
  <si>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</si>
  <si>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</si>
  <si>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</si>
  <si>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</si>
  <si>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</si>
  <si>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</si>
  <si>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</si>
  <si>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</si>
  <si>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</si>
  <si>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</si>
  <si>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</si>
  <si>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</si>
  <si>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</si>
  <si>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</si>
  <si>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</si>
  <si>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</si>
  <si>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</si>
  <si>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</si>
  <si>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</si>
  <si>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</si>
  <si>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</si>
  <si>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</si>
  <si>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</si>
  <si>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</si>
  <si>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</si>
  <si>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</si>
  <si>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</si>
  <si>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</si>
  <si>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</si>
  <si>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</si>
  <si>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</si>
  <si>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</si>
  <si>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</si>
  <si>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</si>
  <si>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</si>
  <si>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</si>
  <si>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</si>
  <si>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</si>
  <si>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</si>
  <si>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</si>
  <si>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</si>
  <si>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</si>
  <si>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</si>
  <si>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</si>
  <si>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</si>
  <si>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</si>
  <si>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</si>
  <si>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</si>
  <si>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</si>
  <si>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</si>
  <si>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</si>
  <si>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</si>
  <si>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</si>
  <si>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</si>
  <si>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</si>
  <si>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</si>
  <si>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</si>
  <si>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</si>
  <si>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</si>
  <si>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</si>
  <si>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</si>
  <si>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</si>
  <si>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</si>
  <si>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</si>
  <si>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</si>
  <si>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</si>
  <si>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</si>
  <si>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</si>
  <si>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</si>
  <si>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</si>
  <si>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</si>
  <si>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</si>
  <si>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</si>
  <si>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</si>
  <si>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</si>
  <si>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</si>
  <si>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</si>
  <si>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</si>
  <si>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</si>
  <si>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</si>
  <si>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</si>
  <si>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</si>
  <si>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</si>
  <si>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</si>
  <si>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</si>
  <si>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</si>
  <si>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</si>
  <si>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</si>
  <si>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</si>
  <si>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</si>
  <si>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</si>
  <si>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</si>
  <si>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</si>
  <si>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</si>
  <si>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</si>
  <si>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</si>
  <si>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</si>
  <si>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</si>
  <si>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</si>
  <si>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</si>
  <si>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</si>
  <si>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</si>
  <si>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</si>
  <si>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</si>
  <si>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</si>
  <si>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</si>
  <si>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</si>
  <si>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</si>
  <si>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</si>
  <si>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</si>
  <si>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</si>
  <si>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</si>
  <si>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</si>
  <si>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</si>
  <si>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</si>
  <si>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</si>
  <si>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</si>
  <si>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</si>
  <si>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</si>
  <si>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</si>
  <si>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</si>
  <si>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</si>
  <si>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</si>
  <si>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</si>
  <si>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</si>
  <si>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</si>
  <si>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</si>
  <si>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</si>
  <si>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</si>
  <si>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</si>
  <si>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</si>
  <si>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</si>
  <si>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</si>
  <si>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</si>
  <si>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</si>
  <si>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</si>
  <si>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</si>
  <si>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</si>
  <si>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</si>
  <si>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</si>
  <si>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</si>
  <si>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</si>
  <si>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</si>
  <si>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</si>
  <si>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</si>
  <si>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</si>
  <si>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</si>
  <si>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</si>
  <si>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</si>
  <si>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</si>
  <si>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</si>
  <si>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</si>
  <si>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</si>
  <si>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</si>
  <si>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</si>
  <si>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</si>
  <si>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</si>
  <si>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</si>
  <si>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</si>
  <si>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</si>
  <si>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</si>
  <si>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</si>
  <si>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</si>
  <si>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</si>
  <si>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</si>
  <si>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</si>
  <si>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</si>
  <si>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</si>
  <si>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</si>
  <si>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</si>
  <si>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</si>
  <si>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</si>
  <si>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</si>
  <si>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</si>
  <si>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</si>
  <si>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</si>
  <si>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</si>
  <si>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</si>
  <si>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</si>
  <si>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</si>
  <si>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</si>
  <si>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</si>
  <si>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</si>
  <si>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</si>
  <si>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</si>
  <si>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</si>
  <si>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</si>
  <si>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</si>
  <si>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</si>
  <si>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</si>
  <si>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</si>
  <si>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</si>
  <si>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</si>
  <si>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</si>
  <si>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</si>
  <si>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</si>
  <si>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</si>
  <si>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</si>
  <si>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</si>
  <si>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</si>
  <si>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</si>
  <si>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</si>
  <si>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</si>
  <si>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</si>
  <si>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</si>
  <si>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</si>
  <si>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</si>
  <si>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</si>
  <si>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</si>
  <si>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</si>
  <si>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</si>
  <si>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</si>
  <si>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</si>
  <si>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</si>
  <si>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</si>
  <si>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</si>
  <si>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</si>
  <si>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</si>
  <si>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</si>
  <si>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</si>
  <si>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</si>
  <si>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</si>
  <si>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</si>
  <si>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</si>
  <si>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</si>
  <si>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</si>
  <si>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</si>
  <si>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</si>
  <si>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</si>
  <si>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</si>
  <si>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</si>
  <si>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</si>
  <si>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</si>
  <si>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</si>
  <si>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</si>
  <si>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</si>
  <si>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</si>
  <si>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</si>
  <si>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</si>
  <si>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</si>
  <si>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</si>
  <si>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</si>
  <si>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</si>
  <si>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</si>
  <si>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</si>
  <si>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</si>
  <si>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</si>
  <si>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</si>
  <si>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</si>
  <si>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</si>
  <si>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</si>
  <si>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</si>
  <si>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</si>
  <si>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</si>
  <si>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</si>
  <si>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</si>
  <si>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</si>
  <si>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</si>
  <si>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</si>
  <si>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</si>
  <si>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</si>
  <si>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</si>
  <si>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</si>
  <si>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</si>
  <si>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</si>
  <si>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</si>
  <si>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</si>
  <si>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</si>
  <si>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</si>
  <si>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</si>
  <si>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</si>
  <si>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</si>
  <si>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</si>
  <si>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</si>
  <si>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</si>
  <si>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</si>
  <si>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</si>
  <si>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</si>
  <si>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</si>
  <si>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</si>
  <si>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</si>
  <si>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</si>
  <si>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</si>
  <si>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</si>
  <si>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</si>
  <si>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</si>
  <si>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</si>
  <si>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</si>
  <si>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</si>
  <si>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</si>
  <si>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</si>
  <si>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</si>
  <si>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</si>
  <si>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</si>
  <si>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</si>
  <si>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</si>
  <si>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</si>
  <si>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</si>
  <si>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</si>
  <si>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</si>
  <si>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</si>
  <si>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</si>
  <si>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</si>
  <si>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</si>
  <si>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</si>
  <si>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</si>
  <si>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</si>
  <si>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</si>
  <si>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</si>
  <si>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</si>
  <si>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</si>
  <si>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</si>
  <si>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</si>
  <si>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</si>
  <si>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</si>
  <si>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</si>
  <si>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</si>
  <si>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</si>
  <si>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</si>
  <si>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</si>
  <si>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</si>
  <si>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</si>
  <si>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</si>
  <si>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</si>
  <si>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</si>
  <si>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</si>
  <si>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</si>
  <si>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</si>
  <si>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</si>
  <si>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</si>
  <si>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</si>
  <si>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</si>
  <si>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</si>
  <si>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</si>
  <si>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</si>
  <si>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</si>
  <si>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</si>
  <si>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</si>
  <si>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</si>
  <si>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</si>
  <si>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</si>
  <si>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</si>
  <si>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</si>
  <si>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</si>
  <si>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</si>
  <si>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</si>
  <si>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</si>
  <si>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</si>
  <si>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</si>
  <si>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</si>
  <si>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</si>
  <si>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</si>
  <si>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</si>
  <si>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</si>
  <si>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</si>
  <si>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</si>
  <si>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</si>
  <si>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</si>
  <si>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</si>
  <si>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</si>
  <si>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</si>
  <si>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</si>
  <si>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</si>
  <si>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</si>
  <si>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</si>
  <si>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</si>
  <si>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</si>
  <si>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</si>
  <si>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</si>
  <si>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</si>
  <si>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</si>
  <si>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</si>
  <si>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</si>
  <si>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</si>
  <si>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</si>
  <si>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</si>
  <si>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</si>
  <si>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</si>
  <si>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</si>
  <si>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</si>
  <si>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</si>
  <si>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</si>
  <si>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</si>
  <si>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</si>
  <si>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</si>
  <si>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</si>
  <si>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</si>
  <si>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</si>
  <si>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</si>
  <si>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</si>
  <si>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</si>
  <si>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</si>
  <si>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</si>
  <si>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</si>
  <si>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</si>
  <si>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</si>
  <si>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</si>
  <si>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</si>
  <si>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</si>
  <si>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</si>
  <si>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</si>
  <si>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</si>
  <si>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</si>
  <si>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</si>
  <si>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</si>
  <si>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</si>
  <si>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</si>
  <si>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</si>
  <si>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</si>
  <si>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</si>
  <si>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</si>
  <si>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</si>
  <si>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</si>
  <si>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</si>
  <si>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</si>
  <si>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</si>
  <si>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</si>
  <si>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</si>
  <si>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</si>
  <si>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</si>
  <si>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</si>
  <si>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</si>
  <si>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</si>
  <si>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</si>
  <si>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</si>
  <si>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</si>
  <si>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</si>
  <si>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</si>
  <si>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</si>
  <si>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</si>
  <si>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</si>
  <si>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</si>
  <si>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</si>
  <si>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</si>
  <si>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</si>
  <si>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</si>
  <si>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</si>
  <si>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</si>
  <si>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</si>
  <si>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</si>
  <si>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</si>
  <si>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</si>
  <si>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</si>
  <si>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</si>
  <si>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</si>
  <si>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</si>
  <si>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</si>
  <si>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</si>
  <si>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</si>
  <si>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</si>
  <si>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</si>
  <si>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</si>
  <si>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</si>
  <si>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</si>
  <si>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</si>
  <si>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</si>
  <si>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</si>
  <si>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</si>
  <si>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</si>
  <si>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</si>
  <si>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</si>
  <si>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</si>
  <si>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</si>
  <si>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</si>
  <si>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</si>
  <si>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</si>
  <si>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</si>
  <si>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</si>
  <si>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</si>
  <si>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</si>
  <si>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</si>
  <si>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</si>
  <si>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</si>
  <si>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</si>
  <si>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</si>
  <si>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</si>
  <si>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</si>
  <si>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</si>
  <si>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</si>
  <si>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</si>
  <si>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</si>
  <si>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</si>
  <si>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</si>
  <si>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</si>
  <si>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</si>
  <si>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</si>
  <si>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</si>
  <si>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</si>
  <si>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</si>
  <si>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</si>
  <si>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</si>
  <si>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</si>
  <si>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</si>
  <si>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</si>
  <si>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</si>
  <si>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</si>
  <si>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</si>
  <si>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</si>
  <si>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</si>
  <si>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</si>
  <si>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</si>
  <si>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</si>
  <si>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</si>
  <si>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</si>
  <si>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</si>
  <si>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</si>
  <si>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</si>
  <si>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</si>
  <si>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</si>
  <si>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</si>
  <si>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</si>
  <si>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</si>
  <si>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</si>
  <si>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</si>
  <si>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</si>
  <si>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</si>
  <si>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</si>
  <si>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</si>
  <si>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</si>
  <si>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</si>
  <si>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</si>
  <si>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</si>
  <si>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</si>
  <si>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</si>
  <si>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</si>
  <si>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</si>
  <si>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</si>
  <si>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</si>
  <si>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</si>
  <si>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</si>
  <si>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</si>
  <si>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</si>
  <si>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</si>
  <si>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</si>
  <si>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</si>
  <si>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</si>
  <si>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</si>
  <si>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</si>
  <si>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</si>
  <si>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</si>
  <si>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</si>
  <si>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</si>
  <si>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</si>
  <si>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</si>
  <si>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</si>
  <si>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</si>
  <si>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</si>
  <si>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</si>
  <si>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</si>
  <si>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</si>
  <si>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</si>
  <si>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</si>
  <si>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</si>
  <si>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</si>
  <si>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</si>
  <si>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</si>
  <si>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</si>
  <si>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</si>
  <si>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</si>
  <si>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</si>
  <si>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</si>
  <si>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</si>
  <si>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</si>
  <si>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</si>
  <si>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</si>
  <si>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</si>
  <si>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</si>
  <si>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</si>
  <si>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</si>
  <si>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</si>
  <si>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</si>
  <si>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</si>
  <si>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</si>
  <si>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</si>
  <si>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</si>
  <si>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</si>
  <si>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</si>
  <si>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</si>
  <si>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</si>
  <si>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</si>
  <si>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</si>
  <si>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</si>
  <si>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</si>
  <si>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</si>
  <si>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</si>
  <si>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</si>
  <si>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</si>
  <si>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</si>
  <si>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</si>
  <si>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</si>
  <si>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</si>
  <si>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</si>
  <si>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</si>
  <si>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</si>
  <si>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</si>
  <si>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</si>
  <si>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</si>
  <si>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</si>
  <si>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</si>
  <si>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</si>
  <si>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</si>
  <si>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</si>
  <si>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</si>
  <si>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</si>
  <si>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</si>
  <si>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</si>
  <si>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</si>
  <si>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</si>
  <si>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</si>
  <si>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</si>
  <si>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</si>
  <si>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</si>
  <si>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</si>
  <si>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</si>
  <si>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</si>
  <si>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</si>
  <si>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</si>
  <si>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</si>
  <si>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</si>
  <si>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</si>
  <si>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</si>
  <si>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</si>
  <si>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</si>
  <si>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</si>
  <si>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</si>
  <si>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</si>
  <si>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</si>
  <si>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</si>
  <si>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</si>
  <si>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</si>
  <si>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</si>
  <si>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</si>
  <si>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</si>
  <si>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</si>
  <si>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</si>
  <si>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</si>
  <si>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</si>
  <si>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</si>
  <si>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</si>
  <si>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</si>
  <si>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</si>
  <si>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</si>
  <si>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</si>
  <si>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</si>
  <si>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</si>
  <si>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</si>
  <si>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</si>
  <si>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</si>
  <si>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</si>
  <si>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</si>
  <si>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</si>
  <si>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</si>
  <si>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</si>
  <si>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</si>
  <si>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</si>
  <si>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</si>
  <si>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</si>
  <si>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</si>
  <si>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</si>
  <si>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</si>
  <si>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</si>
  <si>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</si>
  <si>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</si>
  <si>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</si>
  <si>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</si>
  <si>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</si>
  <si>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</si>
  <si>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</si>
  <si>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</si>
  <si>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</si>
  <si>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</si>
  <si>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</si>
  <si>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</si>
  <si>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</si>
  <si>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</si>
  <si>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</si>
  <si>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</si>
  <si>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</si>
  <si>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</si>
  <si>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</si>
  <si>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</si>
  <si>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</si>
  <si>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</si>
  <si>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</si>
  <si>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</si>
  <si>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</si>
  <si>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</si>
  <si>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</si>
  <si>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</si>
  <si>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</si>
  <si>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</si>
  <si>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</si>
  <si>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</si>
  <si>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</si>
  <si>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</si>
  <si>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</si>
  <si>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</si>
  <si>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</si>
  <si>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</si>
  <si>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</si>
  <si>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</si>
  <si>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</si>
  <si>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</si>
  <si>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</si>
  <si>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</si>
  <si>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</si>
  <si>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</si>
  <si>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</si>
  <si>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</si>
  <si>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</si>
  <si>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</si>
  <si>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</si>
  <si>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</si>
  <si>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</si>
  <si>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</si>
  <si>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</si>
  <si>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</si>
  <si>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</si>
  <si>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</si>
  <si>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</si>
  <si>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</si>
  <si>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</si>
  <si>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</si>
  <si>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</si>
  <si>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</si>
  <si>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</si>
  <si>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</si>
  <si>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</si>
  <si>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</si>
  <si>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</si>
  <si>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</si>
  <si>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</si>
  <si>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</si>
  <si>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</si>
  <si>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</si>
  <si>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</si>
  <si>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</si>
  <si>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</si>
  <si>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</si>
  <si>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</si>
  <si>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</si>
  <si>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</si>
  <si>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</si>
  <si>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</si>
  <si>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</si>
  <si>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</si>
  <si>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</si>
  <si>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</si>
  <si>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</si>
  <si>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</si>
  <si>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</si>
  <si>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</si>
  <si>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</si>
  <si>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</si>
  <si>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</si>
  <si>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</si>
  <si>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</si>
  <si>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</si>
  <si>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</si>
  <si>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</si>
  <si>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</si>
  <si>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</si>
  <si>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</si>
  <si>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</si>
  <si>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</si>
  <si>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</si>
  <si>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</si>
  <si>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</si>
  <si>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</si>
  <si>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</si>
  <si>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</si>
  <si>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</si>
  <si>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</si>
  <si>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</si>
  <si>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</si>
  <si>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</si>
  <si>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</si>
  <si>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</si>
  <si>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</si>
  <si>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</si>
  <si>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</si>
  <si>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</si>
  <si>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</si>
  <si>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</si>
  <si>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</si>
  <si>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</si>
  <si>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</si>
  <si>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</si>
  <si>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</si>
  <si>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</si>
  <si>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</si>
  <si>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</si>
  <si>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</si>
  <si>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</si>
  <si>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</si>
  <si>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</si>
  <si>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</si>
  <si>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</si>
  <si>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</si>
  <si>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</si>
  <si>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</si>
  <si>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</si>
  <si>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</si>
  <si>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</si>
  <si>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</si>
  <si>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</si>
  <si>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</si>
  <si>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</si>
  <si>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</si>
  <si>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</si>
  <si>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</si>
  <si>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</si>
  <si>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</si>
  <si>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</si>
  <si>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</si>
  <si>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</si>
  <si>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</si>
  <si>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</si>
  <si>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</si>
  <si>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</si>
  <si>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</si>
  <si>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</si>
  <si>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</si>
  <si>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</si>
  <si>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</si>
  <si>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</si>
  <si>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</si>
  <si>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</si>
  <si>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</si>
  <si>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</si>
  <si>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</si>
  <si>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</si>
  <si>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</si>
  <si>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</si>
  <si>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</si>
  <si>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</si>
  <si>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</si>
  <si>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</si>
  <si>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</si>
  <si>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</si>
  <si>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</si>
  <si>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</si>
  <si>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</si>
  <si>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</si>
  <si>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</si>
  <si>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</si>
  <si>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</si>
  <si>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</si>
  <si>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</si>
  <si>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</si>
  <si>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</si>
  <si>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</si>
  <si>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</si>
  <si>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</si>
  <si>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</si>
  <si>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</si>
  <si>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</si>
  <si>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</si>
  <si>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</si>
  <si>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</si>
  <si>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</si>
  <si>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</si>
  <si>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</si>
  <si>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</si>
  <si>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</si>
  <si>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</si>
  <si>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</si>
  <si>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</si>
  <si>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</si>
  <si>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</si>
  <si>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</si>
  <si>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</si>
  <si>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</si>
  <si>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</si>
  <si>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</si>
  <si>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</si>
  <si>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</si>
  <si>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</si>
  <si>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</si>
  <si>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</si>
  <si>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</si>
  <si>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</si>
  <si>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</si>
  <si>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</si>
  <si>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</si>
  <si>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</si>
  <si>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</si>
  <si>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</si>
  <si>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</si>
  <si>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</si>
  <si>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</si>
  <si>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</si>
  <si>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</si>
  <si>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</si>
  <si>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</si>
  <si>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</si>
  <si>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</si>
  <si>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</si>
  <si>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</si>
  <si>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</si>
  <si>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</si>
  <si>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</si>
  <si>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</si>
  <si>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</si>
  <si>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</si>
  <si>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</si>
  <si>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</si>
  <si>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</si>
  <si>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</si>
  <si>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</si>
  <si>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</si>
  <si>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</si>
  <si>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</si>
  <si>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</si>
  <si>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</si>
  <si>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</si>
  <si>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</si>
  <si>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</si>
  <si>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</si>
  <si>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</si>
  <si>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</si>
  <si>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</si>
  <si>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</si>
  <si>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</si>
  <si>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</si>
  <si>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</si>
  <si>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</si>
  <si>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</si>
  <si>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</si>
  <si>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</si>
  <si>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</si>
  <si>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</si>
  <si>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</si>
  <si>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</si>
  <si>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</si>
  <si>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</si>
  <si>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</si>
  <si>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</si>
  <si>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</si>
  <si>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</si>
  <si>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</si>
  <si>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</si>
  <si>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</si>
  <si>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</si>
  <si>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</si>
  <si>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</si>
  <si>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</si>
  <si>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</si>
  <si>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</si>
  <si>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</si>
  <si>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</si>
  <si>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</si>
  <si>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</si>
  <si>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</si>
  <si>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</si>
  <si>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</si>
  <si>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</si>
  <si>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</si>
  <si>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</si>
  <si>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</si>
  <si>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</si>
  <si>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</si>
  <si>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</si>
  <si>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</si>
  <si>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</si>
  <si>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</si>
  <si>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</si>
  <si>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</si>
  <si>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</si>
  <si>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</si>
  <si>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</si>
  <si>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</si>
  <si>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</si>
  <si>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</si>
  <si>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</si>
  <si>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</si>
  <si>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</si>
  <si>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</si>
  <si>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</si>
  <si>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</si>
  <si>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</si>
  <si>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</si>
  <si>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</si>
  <si>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</si>
  <si>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</si>
  <si>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</si>
  <si>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</si>
  <si>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</si>
  <si>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</si>
  <si>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</si>
  <si>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</si>
  <si>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</si>
  <si>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</si>
  <si>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</si>
  <si>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</si>
  <si>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</si>
  <si>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</si>
  <si>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</si>
  <si>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</si>
  <si>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</si>
  <si>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</si>
  <si>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</si>
  <si>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</si>
  <si>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</si>
  <si>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</si>
  <si>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</si>
  <si>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</si>
  <si>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</si>
  <si>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</si>
  <si>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</si>
  <si>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</si>
  <si>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</si>
  <si>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</si>
  <si>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</si>
  <si>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</si>
  <si>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</si>
  <si>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</si>
  <si>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</si>
  <si>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</si>
  <si>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</si>
  <si>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</si>
  <si>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</si>
  <si>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</si>
  <si>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</si>
  <si>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</si>
  <si>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</si>
  <si>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</si>
  <si>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</si>
  <si>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</si>
  <si>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</si>
  <si>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</si>
  <si>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</si>
  <si>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</si>
  <si>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</si>
  <si>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</si>
  <si>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</si>
  <si>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</si>
  <si>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</si>
  <si>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</si>
  <si>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</si>
  <si>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</si>
  <si>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</si>
  <si>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</si>
  <si>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</si>
  <si>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</si>
  <si>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</si>
  <si>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</si>
  <si>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</si>
  <si>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</si>
  <si>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</si>
  <si>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</si>
  <si>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</si>
  <si>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</si>
  <si>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</si>
  <si>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</si>
  <si>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</si>
  <si>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</si>
  <si>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</si>
  <si>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</si>
  <si>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</si>
  <si>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</si>
  <si>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</si>
  <si>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</si>
  <si>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</si>
  <si>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</si>
  <si>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</si>
  <si>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</si>
  <si>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</si>
  <si>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</si>
  <si>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</si>
  <si>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</si>
  <si>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</si>
  <si>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</si>
  <si>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</si>
  <si>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</si>
  <si>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</si>
  <si>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</si>
  <si>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</si>
  <si>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</si>
  <si>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</si>
  <si>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</si>
  <si>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</si>
  <si>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</si>
  <si>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</si>
  <si>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</si>
  <si>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</si>
  <si>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</si>
  <si>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</si>
  <si>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</si>
  <si>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</si>
  <si>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</si>
  <si>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</si>
  <si>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</si>
  <si>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</si>
  <si>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</si>
  <si>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</si>
  <si>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</si>
  <si>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</si>
  <si>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</si>
  <si>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</si>
  <si>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</si>
  <si>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</si>
  <si>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</si>
  <si>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</si>
  <si>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</si>
  <si>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</si>
  <si>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</si>
  <si>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</si>
  <si>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</si>
  <si>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</si>
  <si>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</si>
  <si>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</si>
  <si>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</si>
  <si>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</si>
  <si>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</si>
  <si>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</si>
  <si>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</si>
  <si>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</si>
  <si>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</si>
  <si>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</si>
  <si>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</si>
  <si>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</si>
  <si>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</si>
  <si>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</si>
  <si>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</si>
  <si>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</si>
  <si>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</si>
  <si>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</si>
  <si>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</si>
  <si>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</si>
  <si>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</si>
  <si>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</si>
  <si>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</si>
  <si>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</si>
  <si>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</si>
  <si>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</si>
  <si>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</si>
  <si>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</si>
  <si>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</si>
  <si>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</si>
  <si>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</si>
  <si>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</si>
  <si>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</si>
  <si>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</si>
  <si>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</si>
  <si>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</si>
  <si>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</si>
  <si>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</si>
  <si>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</si>
  <si>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</si>
  <si>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</si>
  <si>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</si>
  <si>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</si>
  <si>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</si>
  <si>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</si>
  <si>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</si>
  <si>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</si>
  <si>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</si>
  <si>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</si>
  <si>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</si>
  <si>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</si>
  <si>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</si>
  <si>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</si>
  <si>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</si>
  <si>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</si>
  <si>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</si>
  <si>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</si>
  <si>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</si>
  <si>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</si>
  <si>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</si>
  <si>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</si>
  <si>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</si>
  <si>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</si>
  <si>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</si>
  <si>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</si>
  <si>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</si>
  <si>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</si>
  <si>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</si>
  <si>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</si>
  <si>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</si>
  <si>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</si>
  <si>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</si>
  <si>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</si>
  <si>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</si>
  <si>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</si>
  <si>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</si>
  <si>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</si>
  <si>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</si>
  <si>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</si>
  <si>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</si>
  <si>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</si>
  <si>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</si>
  <si>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</si>
  <si>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</si>
  <si>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</si>
  <si>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</si>
  <si>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</si>
  <si>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</si>
  <si>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</si>
  <si>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</si>
  <si>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</si>
  <si>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</si>
  <si>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</si>
  <si>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</si>
  <si>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</si>
  <si>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</si>
  <si>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</si>
  <si>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</si>
  <si>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</si>
  <si>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</si>
  <si>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</si>
  <si>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</si>
  <si>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</si>
  <si>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</si>
  <si>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</si>
  <si>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</si>
  <si>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</si>
  <si>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</si>
  <si>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</si>
  <si>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</si>
  <si>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</si>
  <si>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</si>
  <si>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</si>
  <si>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</si>
  <si>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</si>
  <si>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</si>
  <si>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</si>
  <si>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</si>
  <si>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</si>
  <si>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</si>
  <si>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</si>
  <si>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</si>
  <si>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</si>
  <si>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</si>
  <si>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</si>
  <si>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</si>
  <si>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</si>
  <si>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</si>
  <si>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</si>
  <si>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</si>
  <si>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</si>
  <si>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</si>
  <si>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</si>
  <si>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</si>
  <si>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</si>
  <si>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</si>
  <si>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</si>
  <si>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</si>
  <si>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</si>
  <si>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</si>
  <si>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</si>
  <si>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</si>
  <si>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</si>
  <si>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</si>
  <si>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</si>
  <si>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</si>
  <si>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</si>
  <si>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</si>
  <si>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</si>
  <si>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</si>
  <si>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</si>
  <si>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</si>
  <si>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</si>
  <si>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</si>
  <si>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</si>
  <si>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</si>
  <si>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</si>
  <si>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</si>
  <si>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</si>
  <si>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</si>
  <si>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</si>
  <si>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</si>
  <si>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</si>
  <si>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</si>
  <si>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</si>
  <si>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</si>
  <si>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</si>
  <si>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</si>
  <si>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</si>
  <si>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</si>
  <si>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</si>
  <si>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</si>
  <si>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</si>
  <si>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</si>
  <si>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</si>
  <si>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</si>
  <si>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</si>
  <si>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</si>
  <si>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</si>
  <si>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</si>
  <si>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</si>
  <si>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</si>
  <si>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</si>
  <si>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</si>
  <si>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</si>
  <si>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</si>
  <si>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</si>
  <si>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</si>
  <si>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</si>
  <si>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</si>
  <si>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</si>
  <si>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</si>
  <si>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</si>
  <si>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</si>
  <si>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</si>
  <si>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</si>
  <si>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</si>
  <si>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</si>
  <si>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</si>
  <si>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</si>
  <si>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</si>
  <si>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</si>
  <si>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</si>
  <si>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</si>
  <si>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</si>
  <si>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</si>
  <si>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</si>
  <si>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</si>
  <si>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</si>
  <si>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</si>
  <si>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</si>
  <si>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</si>
  <si>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</si>
  <si>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</si>
  <si>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</si>
  <si>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</si>
  <si>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</si>
  <si>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</si>
  <si>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</si>
  <si>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</si>
  <si>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</si>
  <si>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</si>
  <si>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</si>
  <si>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</si>
  <si>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</si>
  <si>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</si>
  <si>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</si>
  <si>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</si>
  <si>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</si>
  <si>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</si>
  <si>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</si>
  <si>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</si>
  <si>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</si>
  <si>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</si>
  <si>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</si>
  <si>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</si>
  <si>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</si>
  <si>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</si>
  <si>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</si>
  <si>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</si>
  <si>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</si>
  <si>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</si>
  <si>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</si>
  <si>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</si>
  <si>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</si>
  <si>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</si>
  <si>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</si>
  <si>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</si>
  <si>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</si>
  <si>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</si>
  <si>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</si>
  <si>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</si>
  <si>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</si>
  <si>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</si>
  <si>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</si>
  <si>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</si>
  <si>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</si>
  <si>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</si>
  <si>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</si>
  <si>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</si>
  <si>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</si>
  <si>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</si>
  <si>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</si>
  <si>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</si>
  <si>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</si>
  <si>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</si>
  <si>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</si>
  <si>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</si>
  <si>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</si>
  <si>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</si>
  <si>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</si>
  <si>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</si>
  <si>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</si>
  <si>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</si>
  <si>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</si>
  <si>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</si>
  <si>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</si>
  <si>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</si>
  <si>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</si>
  <si>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</si>
  <si>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</si>
  <si>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</si>
  <si>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</si>
  <si>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</si>
  <si>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</si>
  <si>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</si>
  <si>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</si>
  <si>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</si>
  <si>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</si>
  <si>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</si>
  <si>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</si>
  <si>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</si>
  <si>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</si>
  <si>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</si>
  <si>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</si>
  <si>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</si>
  <si>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</si>
  <si>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</si>
  <si>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</si>
  <si>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</si>
  <si>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</si>
  <si>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</si>
  <si>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</si>
  <si>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</si>
  <si>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</si>
  <si>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</si>
  <si>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</si>
  <si>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</si>
  <si>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</si>
  <si>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</si>
  <si>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</si>
  <si>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</si>
  <si>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</si>
  <si>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</si>
  <si>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</si>
  <si>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</si>
  <si>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</si>
  <si>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</si>
  <si>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</si>
  <si>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</si>
  <si>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</si>
  <si>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</si>
  <si>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</si>
  <si>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</si>
  <si>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</si>
  <si>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</si>
  <si>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</si>
  <si>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</si>
  <si>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</si>
  <si>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</si>
  <si>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</si>
  <si>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</si>
  <si>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</si>
  <si>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</si>
  <si>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</si>
  <si>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</si>
  <si>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</si>
  <si>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</si>
  <si>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</si>
  <si>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</si>
  <si>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</si>
  <si>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</si>
  <si>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</si>
  <si>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</si>
  <si>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</si>
  <si>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</si>
  <si>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</si>
  <si>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</si>
  <si>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</si>
  <si>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</si>
  <si>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</si>
  <si>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</si>
  <si>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</si>
  <si>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</si>
  <si>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</si>
  <si>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</si>
  <si>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</si>
  <si>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</si>
  <si>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</si>
  <si>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</si>
  <si>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</si>
  <si>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</si>
  <si>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</si>
  <si>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</si>
  <si>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</si>
  <si>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</si>
  <si>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</si>
  <si>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</si>
  <si>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</si>
  <si>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</si>
  <si>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</si>
  <si>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</si>
  <si>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</si>
  <si>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</si>
  <si>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</si>
  <si>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</si>
  <si>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</si>
  <si>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</si>
  <si>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</si>
  <si>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</si>
  <si>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</si>
  <si>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</si>
  <si>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</si>
  <si>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</si>
  <si>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</si>
  <si>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</si>
  <si>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</si>
  <si>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</si>
  <si>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</si>
  <si>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</si>
  <si>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</si>
  <si>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</si>
  <si>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</si>
  <si>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</si>
  <si>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</si>
  <si>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</si>
  <si>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</si>
  <si>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</si>
  <si>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</si>
  <si>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</si>
  <si>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</si>
  <si>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</si>
  <si>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</si>
  <si>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</si>
  <si>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</si>
  <si>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</si>
  <si>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</si>
  <si>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</si>
  <si>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</si>
  <si>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</si>
  <si>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</si>
  <si>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</si>
  <si>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</si>
  <si>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</si>
  <si>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</si>
  <si>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</si>
  <si>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</si>
  <si>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</si>
  <si>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</si>
  <si>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</si>
  <si>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</si>
  <si>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</si>
  <si>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</si>
  <si>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</si>
  <si>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</si>
  <si>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</si>
  <si>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</si>
  <si>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</si>
  <si>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</si>
  <si>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</si>
  <si>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</si>
  <si>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</si>
  <si>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</si>
  <si>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</si>
  <si>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</si>
  <si>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</si>
  <si>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</si>
  <si>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</si>
  <si>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</si>
  <si>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</si>
  <si>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</si>
  <si>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</si>
  <si>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</si>
  <si>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</si>
  <si>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</si>
  <si>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</si>
  <si>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</si>
  <si>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</si>
  <si>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</si>
  <si>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</si>
  <si>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</si>
  <si>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</si>
  <si>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</si>
  <si>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</si>
  <si>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</si>
  <si>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</si>
  <si>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</si>
  <si>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</si>
  <si>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</si>
  <si>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</si>
  <si>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</si>
  <si>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</si>
  <si>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</si>
  <si>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</si>
  <si>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</si>
  <si>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</si>
  <si>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</si>
  <si>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</si>
  <si>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</si>
  <si>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</si>
  <si>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</si>
  <si>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</si>
  <si>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</si>
  <si>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</si>
  <si>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</si>
  <si>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</si>
  <si>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</si>
  <si>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</si>
  <si>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</si>
  <si>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</si>
  <si>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</si>
  <si>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</si>
  <si>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</si>
  <si>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</si>
  <si>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</si>
  <si>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</si>
  <si>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</si>
  <si>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</si>
  <si>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</si>
  <si>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</si>
  <si>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</si>
  <si>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</si>
  <si>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</si>
  <si>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</si>
  <si>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</si>
  <si>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</si>
  <si>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</si>
  <si>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</si>
  <si>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</si>
  <si>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</si>
  <si>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</si>
  <si>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</si>
  <si>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</si>
  <si>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</si>
  <si>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</si>
  <si>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</si>
  <si>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</si>
  <si>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</si>
  <si>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</si>
  <si>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</si>
  <si>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</si>
  <si>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</si>
  <si>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</si>
  <si>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</si>
  <si>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</si>
  <si>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</si>
  <si>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</si>
  <si>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</si>
  <si>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</si>
  <si>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</si>
  <si>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</si>
  <si>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</si>
  <si>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</si>
  <si>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</si>
  <si>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</si>
  <si>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</si>
  <si>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</si>
  <si>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</si>
  <si>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</si>
  <si>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</si>
  <si>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</si>
  <si>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</si>
  <si>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</si>
  <si>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</si>
  <si>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</si>
  <si>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</si>
  <si>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</si>
  <si>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</si>
  <si>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</si>
  <si>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</si>
  <si>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</si>
  <si>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</si>
  <si>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</si>
  <si>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</si>
  <si>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</si>
  <si>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</si>
  <si>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</si>
  <si>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</si>
  <si>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</si>
  <si>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</si>
  <si>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</si>
  <si>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</si>
  <si>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</si>
  <si>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</si>
  <si>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</si>
  <si>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</si>
  <si>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</si>
  <si>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</si>
  <si>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</si>
  <si>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</si>
  <si>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</si>
  <si>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</si>
  <si>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</si>
  <si>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</si>
  <si>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</si>
  <si>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</si>
  <si>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</si>
  <si>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</si>
  <si>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</si>
  <si>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</si>
  <si>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</si>
  <si>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</si>
  <si>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</si>
  <si>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</si>
  <si>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</si>
  <si>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</si>
  <si>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</si>
  <si>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</si>
  <si>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</si>
  <si>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</si>
  <si>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</si>
  <si>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</si>
  <si>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</si>
  <si>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</si>
  <si>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</si>
  <si>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</si>
  <si>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</si>
  <si>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</si>
  <si>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</si>
  <si>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</si>
  <si>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</si>
  <si>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</si>
  <si>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</si>
  <si>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</si>
  <si>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</si>
  <si>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</si>
  <si>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</si>
  <si>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</si>
  <si>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</si>
  <si>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</si>
  <si>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</si>
  <si>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</si>
  <si>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</si>
  <si>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</si>
  <si>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</si>
  <si>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</si>
  <si>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</si>
  <si>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</si>
  <si>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</si>
  <si>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</si>
  <si>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</si>
  <si>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</si>
  <si>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</si>
  <si>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</si>
  <si>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</si>
  <si>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</si>
  <si>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</si>
  <si>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</si>
  <si>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</si>
  <si>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</si>
  <si>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</si>
  <si>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</si>
  <si>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</si>
  <si>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</si>
  <si>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</si>
  <si>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</si>
  <si>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</si>
  <si>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</si>
  <si>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</si>
  <si>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</si>
  <si>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</si>
  <si>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</si>
  <si>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</si>
  <si>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</si>
  <si>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</si>
  <si>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</si>
  <si>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</si>
  <si>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</si>
  <si>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</si>
  <si>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</si>
  <si>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</si>
  <si>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</si>
  <si>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</si>
  <si>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</si>
  <si>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</si>
  <si>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</si>
  <si>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</si>
  <si>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</si>
  <si>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</si>
  <si>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</si>
  <si>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</si>
  <si>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</si>
  <si>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</si>
  <si>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</si>
  <si>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</si>
  <si>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</si>
  <si>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</si>
  <si>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</si>
  <si>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</si>
  <si>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</si>
  <si>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</si>
  <si>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</si>
  <si>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</si>
  <si>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</si>
  <si>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</si>
  <si>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</si>
  <si>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</si>
  <si>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</si>
  <si>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</si>
  <si>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</si>
  <si>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</si>
  <si>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</si>
  <si>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</si>
  <si>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</si>
  <si>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</si>
  <si>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</si>
  <si>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</si>
  <si>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</si>
  <si>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</si>
  <si>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</si>
  <si>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</si>
  <si>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</si>
  <si>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</si>
  <si>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</si>
  <si>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</si>
  <si>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</si>
  <si>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</si>
  <si>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</si>
  <si>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</si>
  <si>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</si>
  <si>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</si>
  <si>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</si>
  <si>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</si>
  <si>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</si>
  <si>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</si>
  <si>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</si>
  <si>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</si>
  <si>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</si>
  <si>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TOP CAR MODELS</t>
  </si>
  <si>
    <t>TOP 10 COLOURS</t>
  </si>
  <si>
    <t>State</t>
  </si>
  <si>
    <t>cars</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</si>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</sst>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quot;M&quot;;[&gt;1000]0,&quot;K&quot;;0"/>
    <numFmt numFmtId="165" formatCode="[&gt;=1000000]0.0,,&quot;M&quot;;[&gt;1000]0.0,&quot;K&quot;;0.0"/>
    <numFmt numFmtId="166" formatCode="[&gt;=1000000]\₦0.0,,&quot;M&quot;;[&gt;1000]&quot;$&quot;0.0,&quot;K&quot;;0.0"/>
  </numFmts>
  <fonts count="1" x14ac:knownFonts="1">
    <font>
      <sz val="11"/>
      <color theme="1"/>
      <name val="Aptos Narrow"/>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1" fontId="0" fillId="0" borderId="0" xfId="0" applyNumberFormat="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175">
    <dxf>
      <numFmt numFmtId="1" formatCode="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 formatCode="0"/>
    </dxf>
    <dxf>
      <numFmt numFmtId="165" formatCode="[&gt;=1000000]0.0,,&quot;M&quot;;[&gt;1000]0.0,&quot;K&quot;;0.0"/>
    </dxf>
    <dxf>
      <numFmt numFmtId="164" formatCode="[&gt;=1000000]0,,&quot;M&quot;;[&gt;1000]0,&quot;K&quot;;0"/>
    </dxf>
    <dxf>
      <numFmt numFmtId="1" formatCode="0"/>
    </dxf>
    <dxf>
      <numFmt numFmtId="166" formatCode="[&gt;=1000000]\₦0.0,,&quot;M&quot;;[&gt;1000]&quot;$&quot;0.0,&quot;K&quot;;0.0"/>
    </dxf>
    <dxf>
      <numFmt numFmtId="1" formatCode="0"/>
    </dxf>
    <dxf>
      <numFmt numFmtId="1" formatCode="0"/>
    </dxf>
    <dxf>
      <numFmt numFmtId="1" formatCode="0"/>
    </dxf>
    <dxf>
      <numFmt numFmtId="164" formatCode="[&gt;=1000000]0,,&quot;M&quot;;[&gt;1000]0,&quot;K&quot;;0"/>
    </dxf>
    <dxf>
      <numFmt numFmtId="166" formatCode="[&gt;=1000000]\₦0.0,,&quot;M&quot;;[&gt;1000]&quot;$&quot;0.0,&quot;K&quot;;0.0"/>
    </dxf>
    <dxf>
      <numFmt numFmtId="1" formatCode="0"/>
    </dxf>
    <dxf>
      <numFmt numFmtId="1" formatCode="0"/>
    </dxf>
    <dxf>
      <numFmt numFmtId="165" formatCode="[&gt;=1000000]0.0,,&quot;M&quot;;[&gt;1000]0.0,&quot;K&quot;;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
      <font>
        <b/>
        <color theme="1"/>
      </font>
      <border>
        <bottom style="thin">
          <color theme="4"/>
        </bottom>
        <vertical/>
        <horizontal/>
      </border>
    </dxf>
    <dxf>
      <font>
        <color theme="1"/>
      </font>
      <fill>
        <patternFill>
          <bgColor theme="1"/>
        </patternFill>
      </fill>
      <border diagonalUp="0" diagonalDown="0">
        <left/>
        <right/>
        <top/>
        <bottom/>
        <vertical/>
        <horizontal/>
      </border>
    </dxf>
  </dxfs>
  <tableStyles count="3" defaultTableStyle="TableStyleMedium2" defaultPivotStyle="PivotStyleLight16">
    <tableStyle name="SlicerStyleDark1 2" pivot="0" table="0" count="10" xr9:uid="{BA3FDF4F-C430-4CF8-8421-CF1106757C24}">
      <tableStyleElement type="wholeTable" dxfId="174"/>
      <tableStyleElement type="headerRow" dxfId="173"/>
    </tableStyle>
    <tableStyle name="SlicerStyleDark1 2 2" pivot="0" table="0" count="10" xr9:uid="{90605224-0104-4FBC-BE2E-D4272D481D87}">
      <tableStyleElement type="wholeTable" dxfId="172"/>
      <tableStyleElement type="headerRow" dxfId="171"/>
    </tableStyle>
    <tableStyle name="SlicerStyleDark1 2 3" pivot="0" table="0" count="10" xr9:uid="{188EE754-8066-4212-A6F7-A072941DAB37}">
      <tableStyleElement type="wholeTable" dxfId="170"/>
      <tableStyleElement type="headerRow" dxfId="169"/>
    </tableStyle>
  </tableStyles>
  <colors>
    <mruColors>
      <color rgb="FF888894"/>
      <color rgb="FF1C1C1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9"/>
            <color theme="0"/>
          </font>
          <fill>
            <patternFill patternType="solid">
              <fgColor theme="1" tint="0.499984740745262"/>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9"/>
            <color theme="0"/>
          </font>
          <fill>
            <patternFill patternType="solid">
              <fgColor theme="4"/>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9"/>
            <color theme="0"/>
          </font>
          <fill>
            <patternFill patternType="solid">
              <fgColor theme="4"/>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[Cars.xlsx]Analysis!PivotTable5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c:f>
              <c:strCache>
                <c:ptCount val="1"/>
                <c:pt idx="0">
                  <c:v>Total</c:v>
                </c:pt>
              </c:strCache>
            </c:strRef>
          </c:tx>
          <c:spPr>
            <a:solidFill>
              <a:schemeClr val="bg1">
                <a:lumMod val="65000"/>
              </a:schemeClr>
            </a:solidFill>
            <a:ln>
              <a:noFill/>
            </a:ln>
            <a:effectLst/>
          </c:spPr>
          <c:invertIfNegative val="0"/>
          <c:cat>
            <c:strRef>
              <c:f>Analysis!$D$3:$D$13</c:f>
              <c:strCache>
                <c:ptCount val="10"/>
                <c:pt idx="0">
                  <c:v>Acura</c:v>
                </c:pt>
                <c:pt idx="1">
                  <c:v>Ford</c:v>
                </c:pt>
                <c:pt idx="2">
                  <c:v>Honda</c:v>
                </c:pt>
                <c:pt idx="3">
                  <c:v>Hyundai</c:v>
                </c:pt>
                <c:pt idx="4">
                  <c:v>Lexus</c:v>
                </c:pt>
                <c:pt idx="5">
                  <c:v>Mazda</c:v>
                </c:pt>
                <c:pt idx="6">
                  <c:v>Mercedes-Benz</c:v>
                </c:pt>
                <c:pt idx="7">
                  <c:v>Nissan</c:v>
                </c:pt>
                <c:pt idx="8">
                  <c:v>Toyota</c:v>
                </c:pt>
                <c:pt idx="9">
                  <c:v>Volkswagen</c:v>
                </c:pt>
              </c:strCache>
            </c:strRef>
          </c:cat>
          <c:val>
            <c:numRef>
              <c:f>Analysis!$E$3:$E$13</c:f>
              <c:numCache>
                <c:formatCode>0</c:formatCode>
                <c:ptCount val="10"/>
                <c:pt idx="0">
                  <c:v>13</c:v>
                </c:pt>
                <c:pt idx="1">
                  <c:v>24</c:v>
                </c:pt>
                <c:pt idx="2">
                  <c:v>19</c:v>
                </c:pt>
                <c:pt idx="3">
                  <c:v>22</c:v>
                </c:pt>
                <c:pt idx="4">
                  <c:v>54</c:v>
                </c:pt>
                <c:pt idx="5">
                  <c:v>13</c:v>
                </c:pt>
                <c:pt idx="6">
                  <c:v>60</c:v>
                </c:pt>
                <c:pt idx="7">
                  <c:v>16</c:v>
                </c:pt>
                <c:pt idx="8">
                  <c:v>187</c:v>
                </c:pt>
                <c:pt idx="9">
                  <c:v>13</c:v>
                </c:pt>
              </c:numCache>
            </c:numRef>
          </c:val>
          <c:extLst>
            <c:ext xmlns:c16="http://schemas.microsoft.com/office/drawing/2014/chart" uri="{C3380CC4-5D6E-409C-BE32-E72D297353CC}">
              <c16:uniqueId val="{00000000-C392-46C6-8E4B-4EBA2E84A838}"/>
            </c:ext>
          </c:extLst>
        </c:ser>
        <c:dLbls>
          <c:showLegendKey val="0"/>
          <c:showVal val="0"/>
          <c:showCatName val="0"/>
          <c:showSerName val="0"/>
          <c:showPercent val="0"/>
          <c:showBubbleSize val="0"/>
        </c:dLbls>
        <c:gapWidth val="182"/>
        <c:axId val="1802077759"/>
        <c:axId val="1802087839"/>
      </c:barChart>
      <c:catAx>
        <c:axId val="180207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802087839"/>
        <c:crosses val="autoZero"/>
        <c:auto val="1"/>
        <c:lblAlgn val="ctr"/>
        <c:lblOffset val="100"/>
        <c:noMultiLvlLbl val="0"/>
      </c:catAx>
      <c:valAx>
        <c:axId val="1802087839"/>
        <c:scaling>
          <c:orientation val="minMax"/>
        </c:scaling>
        <c:delete val="1"/>
        <c:axPos val="b"/>
        <c:numFmt formatCode="0" sourceLinked="1"/>
        <c:majorTickMark val="none"/>
        <c:minorTickMark val="none"/>
        <c:tickLblPos val="nextTo"/>
        <c:crossAx val="180207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[Cars.xlsx]Analysis!PivotTable6</c:name>
    <c:fmtId val="2"/>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36036036036036E-2"/>
          <c:y val="1.4532255886707906E-2"/>
          <c:w val="0.92072072072072075"/>
          <c:h val="0.75209230156605078"/>
        </c:manualLayout>
      </c:layout>
      <c:barChart>
        <c:barDir val="col"/>
        <c:grouping val="clustered"/>
        <c:varyColors val="0"/>
        <c:ser>
          <c:idx val="0"/>
          <c:order val="0"/>
          <c:tx>
            <c:strRef>
              <c:f>Analysis!$E$18</c:f>
              <c:strCache>
                <c:ptCount val="1"/>
                <c:pt idx="0">
                  <c:v>Total</c:v>
                </c:pt>
              </c:strCache>
            </c:strRef>
          </c:tx>
          <c:spPr>
            <a:solidFill>
              <a:schemeClr val="tx1">
                <a:lumMod val="50000"/>
                <a:lumOff val="50000"/>
              </a:schemeClr>
            </a:solidFill>
            <a:ln>
              <a:noFill/>
            </a:ln>
            <a:effectLst/>
          </c:spPr>
          <c:invertIfNegative val="0"/>
          <c:cat>
            <c:strRef>
              <c:f>Analysis!$D$19:$D$37</c:f>
              <c:strCache>
                <c:ptCount val="18"/>
                <c:pt idx="1">
                  <c:v>Beige</c:v>
                </c:pt>
                <c:pt idx="2">
                  <c:v>Black</c:v>
                </c:pt>
                <c:pt idx="3">
                  <c:v>Blue</c:v>
                </c:pt>
                <c:pt idx="4">
                  <c:v>Brown</c:v>
                </c:pt>
                <c:pt idx="5">
                  <c:v>Burgandy</c:v>
                </c:pt>
                <c:pt idx="6">
                  <c:v>Gold</c:v>
                </c:pt>
                <c:pt idx="7">
                  <c:v>Gray</c:v>
                </c:pt>
                <c:pt idx="8">
                  <c:v>Green</c:v>
                </c:pt>
                <c:pt idx="9">
                  <c:v>Ivory</c:v>
                </c:pt>
                <c:pt idx="10">
                  <c:v>Off white</c:v>
                </c:pt>
                <c:pt idx="11">
                  <c:v>Orange</c:v>
                </c:pt>
                <c:pt idx="12">
                  <c:v>Pink</c:v>
                </c:pt>
                <c:pt idx="13">
                  <c:v>Purple</c:v>
                </c:pt>
                <c:pt idx="14">
                  <c:v>Red</c:v>
                </c:pt>
                <c:pt idx="15">
                  <c:v>Silver</c:v>
                </c:pt>
                <c:pt idx="16">
                  <c:v>White</c:v>
                </c:pt>
                <c:pt idx="17">
                  <c:v>Yellow</c:v>
                </c:pt>
              </c:strCache>
            </c:strRef>
          </c:cat>
          <c:val>
            <c:numRef>
              <c:f>Analysis!$E$19:$E$37</c:f>
              <c:numCache>
                <c:formatCode>0</c:formatCode>
                <c:ptCount val="18"/>
                <c:pt idx="0">
                  <c:v>1</c:v>
                </c:pt>
                <c:pt idx="1">
                  <c:v>4</c:v>
                </c:pt>
                <c:pt idx="2">
                  <c:v>116</c:v>
                </c:pt>
                <c:pt idx="3">
                  <c:v>42</c:v>
                </c:pt>
                <c:pt idx="4">
                  <c:v>6</c:v>
                </c:pt>
                <c:pt idx="5">
                  <c:v>1</c:v>
                </c:pt>
                <c:pt idx="6">
                  <c:v>13</c:v>
                </c:pt>
                <c:pt idx="7">
                  <c:v>89</c:v>
                </c:pt>
                <c:pt idx="8">
                  <c:v>12</c:v>
                </c:pt>
                <c:pt idx="9">
                  <c:v>1</c:v>
                </c:pt>
                <c:pt idx="10">
                  <c:v>1</c:v>
                </c:pt>
                <c:pt idx="11">
                  <c:v>1</c:v>
                </c:pt>
                <c:pt idx="12">
                  <c:v>1</c:v>
                </c:pt>
                <c:pt idx="13">
                  <c:v>3</c:v>
                </c:pt>
                <c:pt idx="14">
                  <c:v>54</c:v>
                </c:pt>
                <c:pt idx="15">
                  <c:v>81</c:v>
                </c:pt>
                <c:pt idx="16">
                  <c:v>70</c:v>
                </c:pt>
                <c:pt idx="17">
                  <c:v>1</c:v>
                </c:pt>
              </c:numCache>
            </c:numRef>
          </c:val>
          <c:extLst>
            <c:ext xmlns:c16="http://schemas.microsoft.com/office/drawing/2014/chart" uri="{C3380CC4-5D6E-409C-BE32-E72D297353CC}">
              <c16:uniqueId val="{00000000-8B56-4640-AA5F-3F0CD5787543}"/>
            </c:ext>
          </c:extLst>
        </c:ser>
        <c:dLbls>
          <c:showLegendKey val="0"/>
          <c:showVal val="0"/>
          <c:showCatName val="0"/>
          <c:showSerName val="0"/>
          <c:showPercent val="0"/>
          <c:showBubbleSize val="0"/>
        </c:dLbls>
        <c:gapWidth val="219"/>
        <c:overlap val="-27"/>
        <c:axId val="1982017503"/>
        <c:axId val="1982029023"/>
      </c:barChart>
      <c:catAx>
        <c:axId val="198201750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029023"/>
        <c:crosses val="autoZero"/>
        <c:auto val="1"/>
        <c:lblAlgn val="ctr"/>
        <c:lblOffset val="100"/>
        <c:noMultiLvlLbl val="0"/>
      </c:catAx>
      <c:valAx>
        <c:axId val="1982029023"/>
        <c:scaling>
          <c:orientation val="minMax"/>
        </c:scaling>
        <c:delete val="1"/>
        <c:axPos val="l"/>
        <c:numFmt formatCode="0" sourceLinked="1"/>
        <c:majorTickMark val="out"/>
        <c:minorTickMark val="none"/>
        <c:tickLblPos val="nextTo"/>
        <c:crossAx val="198201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[Cars.xlsx]Analysis!PivotTable8</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lumMod val="75000"/>
            </a:schemeClr>
          </a:solidFill>
          <a:ln w="19050">
            <a:noFill/>
          </a:ln>
          <a:effectLst/>
        </c:spPr>
        <c:dLbl>
          <c:idx val="0"/>
          <c:layout>
            <c:manualLayout>
              <c:x val="-0.2333333333333333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lumMod val="50000"/>
              <a:lumOff val="50000"/>
            </a:schemeClr>
          </a:solidFill>
          <a:ln w="19050">
            <a:noFill/>
          </a:ln>
          <a:effectLst/>
        </c:spPr>
        <c:dLbl>
          <c:idx val="0"/>
          <c:layout>
            <c:manualLayout>
              <c:x val="0.13055555555555556"/>
              <c:y val="9.5842163626855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50000"/>
              <a:lumOff val="50000"/>
            </a:schemeClr>
          </a:solidFill>
          <a:ln w="19050">
            <a:noFill/>
          </a:ln>
          <a:effectLst/>
        </c:spPr>
        <c:dLbl>
          <c:idx val="0"/>
          <c:layout>
            <c:manualLayout>
              <c:x val="0.13055555555555556"/>
              <c:y val="9.5842163626855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noFill/>
          </a:ln>
          <a:effectLst/>
        </c:spPr>
        <c:dLbl>
          <c:idx val="0"/>
          <c:layout>
            <c:manualLayout>
              <c:x val="-0.2333333333333333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50000"/>
              <a:lumOff val="50000"/>
            </a:schemeClr>
          </a:solidFill>
          <a:ln w="19050">
            <a:noFill/>
          </a:ln>
          <a:effectLst/>
        </c:spPr>
        <c:dLbl>
          <c:idx val="0"/>
          <c:layout>
            <c:manualLayout>
              <c:x val="0.13055555555555556"/>
              <c:y val="9.5842163626855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w="19050">
            <a:noFill/>
          </a:ln>
          <a:effectLst/>
        </c:spPr>
        <c:dLbl>
          <c:idx val="0"/>
          <c:layout>
            <c:manualLayout>
              <c:x val="-0.2333333333333333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Analysis!$I$20</c:f>
              <c:strCache>
                <c:ptCount val="1"/>
                <c:pt idx="0">
                  <c:v>Total</c:v>
                </c:pt>
              </c:strCache>
            </c:strRef>
          </c:tx>
          <c:spPr>
            <a:ln>
              <a:noFill/>
            </a:ln>
          </c:spPr>
          <c:explosion val="7"/>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1D84-4208-B212-E552ED4ADF05}"/>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1D84-4208-B212-E552ED4ADF05}"/>
              </c:ext>
            </c:extLst>
          </c:dPt>
          <c:dLbls>
            <c:dLbl>
              <c:idx val="0"/>
              <c:layout>
                <c:manualLayout>
                  <c:x val="0.13055555555555556"/>
                  <c:y val="9.584216362685568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84-4208-B212-E552ED4ADF05}"/>
                </c:ext>
              </c:extLst>
            </c:dLbl>
            <c:dLbl>
              <c:idx val="1"/>
              <c:layout>
                <c:manualLayout>
                  <c:x val="-0.23333333333333334"/>
                  <c:y val="-8.33333333333333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84-4208-B212-E552ED4ADF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bg1">
                      <a:lumMod val="75000"/>
                    </a:schemeClr>
                  </a:solidFill>
                  <a:round/>
                </a:ln>
                <a:effectLst/>
              </c:spPr>
            </c:leaderLines>
            <c:extLst>
              <c:ext xmlns:c15="http://schemas.microsoft.com/office/drawing/2012/chart" uri="{CE6537A1-D6FC-4f65-9D91-7224C49458BB}"/>
            </c:extLst>
          </c:dLbls>
          <c:cat>
            <c:strRef>
              <c:f>Analysis!$H$21:$H$23</c:f>
              <c:strCache>
                <c:ptCount val="2"/>
                <c:pt idx="0">
                  <c:v>Automatic</c:v>
                </c:pt>
                <c:pt idx="1">
                  <c:v>Manual</c:v>
                </c:pt>
              </c:strCache>
            </c:strRef>
          </c:cat>
          <c:val>
            <c:numRef>
              <c:f>Analysis!$I$21:$I$23</c:f>
              <c:numCache>
                <c:formatCode>0</c:formatCode>
                <c:ptCount val="2"/>
                <c:pt idx="0">
                  <c:v>470</c:v>
                </c:pt>
                <c:pt idx="1">
                  <c:v>24</c:v>
                </c:pt>
              </c:numCache>
            </c:numRef>
          </c:val>
          <c:extLst>
            <c:ext xmlns:c16="http://schemas.microsoft.com/office/drawing/2014/chart" uri="{C3380CC4-5D6E-409C-BE32-E72D297353CC}">
              <c16:uniqueId val="{00000004-1D84-4208-B212-E552ED4ADF05}"/>
            </c:ext>
          </c:extLst>
        </c:ser>
        <c:dLbls>
          <c:showLegendKey val="0"/>
          <c:showVal val="1"/>
          <c:showCatName val="0"/>
          <c:showSerName val="0"/>
          <c:showPercent val="0"/>
          <c:showBubbleSize val="0"/>
          <c:showLeaderLines val="1"/>
        </c:dLbls>
        <c:firstSliceAng val="281"/>
        <c:holeSize val="75"/>
      </c:doughnutChart>
      <c:spPr>
        <a:noFill/>
        <a:ln>
          <a:noFill/>
        </a:ln>
        <a:effectLst/>
      </c:spPr>
    </c:plotArea>
    <c:legend>
      <c:legendPos val="r"/>
      <c:layout>
        <c:manualLayout>
          <c:xMode val="edge"/>
          <c:yMode val="edge"/>
          <c:x val="0.76242742933350149"/>
          <c:y val="0.38942755226468934"/>
          <c:w val="0.23299603575235081"/>
          <c:h val="0.35098951238858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D6832EA-DA7D-429D-93F5-D6E4067B4DD7}">
          <cx:tx>
            <cx:txData>
              <cx:f>_xlchart.v5.2</cx:f>
              <cx:v>cars</cx:v>
            </cx:txData>
          </cx:tx>
          <cx:spPr>
            <a:solidFill>
              <a:srgbClr val="888894"/>
            </a:solidFill>
          </cx:spPr>
          <cx:dataId val="0"/>
          <cx:layoutPr>
            <cx:geography cultureLanguage="en-US" cultureRegion="US" attribution="Powered by Bing">
              <cx:geoCache provider="{E9337A44-BEBE-4D9F-B70C-5C5E7DAFC167}">
                <cx:binary>3HtZc9w40u1fcfj5Ug2A2DgxPREDskollRZLtuTlhSFLMghuIEGA26//UrblljTdfaN7+kZ8ffUg
u4QCCSKRmSfPSf7zdv7HbX1/417NTd0O/7idf35deN/946efhtvivrkZDhpz6+xgv/iDW9v8ZL98
Mbf3P925m8m0+ieCMP3ptrhx/n5+/a9/wtX0vT2xtzfe2PYi3Lvl8n4ItR9+Z+xXh17d3DWmzczg
nbn1+OfXR419/eq+9cYv75bu/ufXz77w+tVPLy/zH7d8VcOqfLiDueyASZZQxlHy7Ye/flXbVn8f
FgeI84Qz/HjHs5sGZsESXr31N/7+8c+/tpCvy7i5u3P3wwAP8fXfZ1OfrfvZyK0NrX/YMQ2b9/Pr
M6Pvnbl5/coMNv02lNqH1Z8dfn3cn57v9r/++eIPsAEv/vLEIC936/829B/2+Hc13bw6+myb39uM
P2YVepBQJHnMMfr2A/v/zCqSYkI4E9+NJh9v/c08P1b0Z430Hxd4Yar/GP9bGexch/Zxw37t4P4x
W/GDREgJppC/GOOJreIDGsuEJDH5bkryeOtvtnpYzJ8109O5Lyz0dOhvZZz9dOPA0/+q+CYPZMyF
TDD5bh3xzJPoAedSUsmeONq3W3+zztfV/FnzPJv8wj7Pxv5WBvp3e9N8/itNxA8IljGO+aMDPU9B
4F8sxhDw4u8ORB9Px/dg9209f9ZI3x/ncfoLM70Y/VsZan9zF9q/0JUwOoglYTHBEMKeRDhxIFkc
E8IeIUTy3EDf1vG4wb/t2L+OF57PfmGe54N/K+tk97X/C40DOI6IGHH0BBI8sRE/wAJciMNXvv28
cKKvq/mzJno2+YWFno39rQy0ufsLYTY/AMsAXqO/noYYYAhCBKb0u3kA7z1NQ7CWP2ucJ1NfmObJ
yN/KMNv7u3t3U79Kbzrj4d93984Zb93yuGf/PaZ7QA0YEHb8HTQkENKeeJMAbyKUg8m+j0PGemqu
P7XCXw9/v3OpF+b8nW/+rcx7cqPt8Lif/70pOQRGnqAY00dbPjNlfMCEAK+jj8MvSqmvq/mzvvds
8gtzPRv7WxnovP0rIyMwDAQlXNIfvvbMPuwAMS6oSB4Bevx4NL6hv4fF/FnzPJ37wjpPh/5exln+
wqwlAZkzDMAOnOJJ+AOf4ZTIRL7IUufLnzfFL1NfWuKXkb+VIS7NeO/+wjhGDx7wGyLyO0JAgOCe
2IQfSI6AMxKP4y9ohm/L+bOe8nz2Cws9H/xfbaTfWtzTouTZd/4gm5oAzEMohoj13UrsmZHEwUMO
Elg+Dr9A4T94zt9ez6+jhB8Tny3+/zlx+tuk6g/KObvxN5uvXPUTXvX3Rx8J2RdTf48S+rZfR3c/
v344/pgDHvvBgj9c5hk6e1HT/8rc+5vB//xaHMRxglgiCZgMJ5hCuJvuH0YAzcMQTQTjHEAipmDm
1jpfPAxJhBNYBZYcswdQ//rVYMPDEDsQQHQQ4AkxQVTG9IdM8MbWi7btj235/vlVG5o31rR++Pk1
AM7Xr7pv33t4TgHQ86Hck0J8LR0YeRi/vbkELeLh6/+nrOemCI6lTb1jg1n2PqF6zCLm+3ve1vow
X1By1de+OiZhit6sRVekSVxetG2xqK7j7+iMG6MWXhYpLWSnYIGxmrqxqlW5uivdtkvaF707rsvF
8nSWybD3PoyVisM0N8q6sThcQ4POigjJt3a0dhvVS4FVV4jmPPLsC8NL8VmUqPrYVglK66Yi+7Vb
xFFcR+sux7jcDEk/bEw99aqc1mgDe9ltu5yjTSFGsusSUW1iZMdOTQaWN7cSfdZFmcBH9lmPw3pP
rWu3gPH4Ozxbskk0MkbVK5pPfMnRfkm0PkJsjrfCjsPJmAefeZaUaUhQn/ZVNW8mY/Rbuix2E7O5
LZSr+KBA1kk2tu3wLh6i5Ao1lH5wZWczwsaQyth5hdpEFEraQmtlWDuca5yEc7OS+LzqWvu2FTW9
nWx37oGChMdD9a7qXKLmcUBpF7lCobEatBJuYdu+YfQkGMq2uuzg47TYtJ4cOSoa13zQnOSbMPd5
lviZbZtkdicT6qma5GRTnldtpVodxiPJRrGTtGHHjjfxdSk53ZN4Ga7ctNKbog10O/VVfMjzqbid
qZ+YwiUvjknhi6xfi2VfWN5NSlR2PY1lXuWKRSx08JgR3vhk7jeomUSbDSw3h7bqyGEscnrcFnWx
nE7F6PdVz/gHJ3T/mc/ObVy31dGa43TqVr/Boy82oeyqo86Y5mhssb5AY9Bv/eKiKpNAPmkVF6s/
l/3abYu1kLsw9WXGjGWbeYn0lTHOZpV1AU7gyt4n0WR2fplsNkJw3mFhwznuBTns/ez3oq7dHZmj
6HhlOtzV3TK0Svh+3vI2sJ2DOvBywUV0aPOKXCJb+50TVX/s5qRWOopwlzYyJEY9FaKe+fOt7RZn
dPFd+fvx8V/n3X371rv7e396030VqH4Ze/7xF/3qIZj9ELNeBMhv+uJvRM/fHXwWWp+lkEew/RBy
sIAw99th9UcO+iWgfp3xLZhiYNqFwAyCVhJLQRDExW/BlMCAhL8mWDwUYYA3fwRTHB+AssLjBCcI
qCtJAId+D6b0gAgAQxBMoTSAfAqzHp/82e6DCPv989NoClH7eTSNERCYlFEQA0AKEELC8p5GU1EP
hJYhV/VYmm4+XNBc1iomFiVHa40WedYJ3RpwXVMVp8EL77PY1244KvUsq9R1vIUQSbh7J0Jrhqyr
Jj2dJ5YVWkXM9MQoHXokjzuPWwhflBBSW5hRoTjDQ7cWqm9QZLYVEa7ciYWWLO1QafkpbYcJpZBA
IqucQYGpxkcLVpZD2knHuRSlmiNsW8UhVc1qqG3lVRiq+JSyIvq0RoYz1QeIP4oxsZzSIdGfqtLE
ZRo3ZBnTljcdXK+h+aToVJlaVVKLbkcjXzSKVlOzpmVOSpPGU5m4bOGz71VRislDnCz6eBuP3PIN
R6azadRXfNnRltYfIHqTM1pQC6FD1/rcrT65KbBkH6z28q7LSeLSYWHBqMINkFmWEDD/kBO45XuN
e89USSHXnC6kTprjCXLTqFpLcpEFBjn2iNbtYt/Ga8l9tnbrRDaVWJMhFZ2Q6waNRV6okgV5be0Q
47fMFmE9ZaULJwnP5Qw2jOquVWYI63Hd5/1wPgw5qo9IGaRXHSfVnvB49soO0/yh1bkM2z6RxTSo
cW7za1uUI0TUJCqa3ZAXLlaa92W86c3Qf3ZLa7FaeyluC97mRYrIQq+nhvmPyPiIbXBd+cMg+65P
i66Vt0NurcvKyUzDoVsrNqUIN5aqVrIGKSm125eMRZPCPEDKcCUXS1pRM9QKLXwUCgBFLNIZw7IO
2cDnUbk+DDtvo+iuGCMzqRmS3R7nQ3EZeTN8AUbyyhvdVaoYMCJp7WXXqbqU5m2YbGtgg6p+W9d4
jtNodS5SHNLbe2LnCquKomZRYmHsMtCxJGosA9KpKeq1U2PNk0jlZBqI8nMzf5hbHqN07kN7S3xk
HORQjxu1crZe9DVnsDaMTbMlsZWtqttxrVLAZ+6+IE1+m09Ney5iij8btJb1dtB2nlQQfTtmfMxZ
Bb/N9EmC5/cKBUTcYY5yyFtmSWKrwtyuNzRi3fkYs6BV37t5VdVopc+Qy1miZNHbVRXElPaYeBcP
yiBiTarZEE8K5dOCFDErXj/Ulc5vmwlTcdg1lrR7JoPu4Og23fC21YQWmcgTACGjJ9UbXDJymS9d
dYKj1edZ4Sp01/cjWbfacIBRw1jKDyXT/MJzn3ywQtStGjsszJGtY2+Piqluzvvaoko1NckpuJwo
uzTxUt+TYUFaMddLBIPTStKhl0ujWGwnnebzXF9NhS4SCGXFGq5KW+uPoXywT1KXhqrFY4kyvkwQ
+mZTE6xqPttaFbHsIUhh3Z8msmyuEIG7bXJRLtfrMsXF+dgMjsM55KG6dDN1eRajiFdZLle9o6To
p0MODQx+ox2f6w0rJ7ekobdUZ3FUN+BQPXdItYbWRiV5owdVBZEQFSUh7jLa4qbJurEs0BYQbxGU
ttXD0yUmsllE7djD847mdIhITJXFPKkUXmWXZ9LFOd8uIho/RkjYjw3tSVDTFHWjinqip8zPJl5V
HeRSwm/tZ8XFwM/roZ0+D9K7fTfrFbJ/wlqvqqWbu2zgNL6EAzvjzZI3daI0pcW0MUvP68ywhKCs
A4drVRyvfkpzGuI2Xbgsp40QXVec5wUqjlwVqlWtROhL0zejV3O+hm1LeojJPQUTyKWOGtXofmhO
85W3du+bumxUv5Q6bCjkoKCqlZXNVuaNTzY8b9pPRvZwKILRc5v6PhGXQx7lq2IdL3hWe8h3cKxn
89EYZELqhhbJLAFXe0cp94Na89ge5w3Bw6bSkpWppl3uFURThBTkjODU0hMmlY8ar8FJ66jPam3N
oGxJmmszFHmbCY8YVj38WlI0o+6aAH6OUhcqOHyjQW2R1m3DPgLMrHRa29xkjpdrselxV3QKA4C/
mxODegW5vvwoGZQA7RGdBjZN1zlvwKEVLxy+m3zTnoV1NZUieBVHbKia8TA3pPpSzqQ+YzNnVyQy
68c6EHdbRBAL08VafoeHEOVqsQhdz7ZMFhUPzn6hmhWH8yrsvsbr+slgEk6THPdWFbmNE9X1JcDN
vq9NlZreAlr0K37PWakL1QhbQSUCsz/kfTxZRROyXlYmWr9UkR+PsYAwkDpD/eFUl2tIi1Ek55Q0
ZlEllJBMjY70UAb0hR2VL0Z8xIKAMxOmikNoBKcxKg/TGIOjjPxdpSNUpZXLxajqnPp+S0vdhYzO
bmrUyCp0WtR9cTvMUSXV3HcxTVldL/JCxyuu08FAXXs2QNebTiMtp6VSc9k2CYYcP5r4Bmo0X8DE
1eOwn4hu5jfr2rC5U4RPQZ7oBI/VCdfRWEJmmde8fcdr46tskiWFM1CJOd+FKnJoUoluED5aIlaj
C7f0EqeCurrJQCZL2qzicXcqbS/rfesL7pRYS3wrpJ6mO7wsuj+xdV5HGUTgBiJTnQSTLVOVxw8z
lzWFMjP+rOuonNIYLc2QQyiiuc/6YPI8W2eP8qMhLKF4z1cf0c0QDW35zi9ja7M6L1G5y82kuVEc
ojxOG7bAxiSeLGD2dRjzT4HSId6gqU3ozgYrhVVjUo9UQuCqk77dOsZGdN9XEMZUJKH75xAq6Wha
szFhUFYpJhsqTxLj8+ULlE2oOhsgQLitjxvpTk2lrTvNUVUmR0VS4ZVtGsAW85StqEX1tpi6IPa6
KmOd0lVbfUJGWuvP1kUuyQo/IzBTyRqfGprDQkkR8mk354HGs2pmHdO7MPtQH+tqXKo3giVoTR3A
6eiwHXqPjvNuGfsULXB2d3Uf9Xzbo7WqUzimNk7jlRt8PaCVmEPdC4DCcJDZfCXHspWqZWwyUK+T
vhcfkwnjD3MezeQQCqX8CwrQkHPYViVfIEpUC1FNjlCpyAqHOfNjE/xW9qPwu7Z21XIEe16FdEGj
GVLuyt6flxB46n1RknAfAYw+lXMuPol2QWKL5VKZLXbDAGWnHJNlM7WmJekqcL6mlnHNsnUVRsKm
jfask0MUb5aAUZdazrQ+ieDB6lREMV6UBKg9K9eJ/jPEBBO2bByABiEYGZrqeBrluRcB3BzLOrYb
CrCjB7QWdAz5nfRhA61F6EsfowoQfGJawN/V2scbHkhPgE0pqjzjWMw1YJDR14cAEKhTPZvB3/KE
QdTrIG9e0cQk8N+Y9u8sBTS9DYvwLHXTRIe0yfHMN50w5WXnluJLS3hZpfXIQ6OSmQLr0+VNrwaA
1D6zraAaiuIhWDX0fEqUSxouj3GhYYudQMV7qGdFlwauK5T62JVN2rJQAVTpK1S8iYPT4ahl1swA
b5dg93Sq+1ItRQ5sxDpFZbtLgNAQadWWK1VjCFV72s+OF8rWsif7KrFLDZvnomIzBjGatLR4irII
gRWUKHjFNtSuskgruFidodAXeeqpqwZVdksbUj0Ni8imspgWhYZkuh2jtQYUPRT2XnemTjZ93vbl
567u6OKyXkdQXCyD6dZs5Xiwa9pbMcqQxtpzVyk7euBN1MpEh8ctlB0JqzPBNGG5auc4yjfLEnuS
VlUrxLmEmJ8fr60v3ZlwzVy+F2yaQ562Li6BC3AA/uk7gJ5lDADBdY1f0z/ODJw+Nho/pwG+Fri/
cAT/S/mDZ+rAM/6AY0DflEHp/dsswr8/m5vnKsVX6uGXqY/cbCIFsAUCQ3OlEAArHukE0OYpemiz
EDGoJQRY2h90Aj+AAcwQCI4M2FP+sJIfdIIkMRC3oGnFkhIh4j9CJ8QEbtI9I2eFIBBUBUgBDEN3
FCzvKZ0Q26oskpamUEaLI9TIdyYWXK2xaTe4d0UmA0veEBuN6bxUfsd5IzYNhnoLBVwqH3xII94P
h0lO4pR1q7swTrSqXaLyYl1pUJ0QWjW83ZXlaLahqxagDM22ib0/7LvizMXtB2OAfNCI8iyPPID1
Vdwy2LWdD+aQNo3JoORBRzMQX6eLr7Zr7ptLGpXkwqJh3y49PUKelacdkwhISaA6Kzrs0Ki301Tv
o6WE4j8Sij48BVr1p64Sx4s5FqIs9s52Owt0xEkTlVkcj3fDsBTvWV1uB9JwVRnSKhmx/cpylBLz
wEN7vW4lctsRjx8hV+xK1x+6AXWK906ntlvv8jLSWdLQ46XSUDpEcbNpAMu/DzVqPlbFIj8CeagP
qUj04QppHACe2cas91lXT+a0oGaF21RbHq9AdCPkNnUyQn3B6MUiid2itrwbE/c+0dW0C8lwkXRA
TMhc5xkgxV2ItdzQZNWpXm/ZEm3WjsKeVPROkup6BpBzb6KlS+O2INvILxfxavrDuq+Z4gSAHG7p
HSJzeSE6RjZxK5Ksw4VVfTwwwHpsUcQCX5qPtNlG07LcIa3FJ0md3QbcTx9Zp/vMeTRkiHkMSxL2
tMfTvG85/thj6lO52gqQZYJZoUjFTyOj70oDGGkc2Aqs/dCfza5fldD1XbJQc/fwH6Ot3fQC6ug2
uP5ojobyJBnL2SgjYEOWfjGfVlS2J13PiaJ9qw950SWZFc6+6fTSqrUy3KtiKYqsCp5ed14XH4Kt
5+OW0moz0jBknI7RjjaU7R3K6XXSJ+sO43x6u/JqelusEIhV3RVSZ0M/AVTlc/mlSoAwblu57pLV
mDNq7LwhSzLsxnoGckATVO7neX3jauJ2hRbRxbBW83FOdQdJYJoreAJgn9GcAykFrN6bkcfVAymU
bHk9h0LVEb6AHDMo4GDQnQ3ks64iqTBs8ufJ2RiIYgIUQlKRapNELdnVIOxt3INEYb6KFUUX7Xvb
k11oly5SVhd209R5foJ5p4/tCFxEHy/npMuBH7BA+DdLmZy2I6X7iDv5cZWgPCwGSO8UhAm3c/nY
pAUHcNXJB5Rb5ZAt57ftWLgtEy256scI73ORQGHHku49WeDJdRd7VeL4I6gX/abVVb4TpBQbuxTj
VmLwFzey5oM0w40kvj0UvfRviomVxwJI960bB+C44WrZxIf6qKl1rqHcgK2t9MaCtLV9AHdvczki
tbY1S63pig8oNvMxjXNAdlpwt2OU2NOGL1BedH7etuOUZPE8hU3cdfIEQUVx6eDKx6GYqi2OUHkE
3EK+iSG9njYa8Q2toCgiKBr2OG77d4158OQiLB9jWZNr57z9MI0t3fZzOxrVew5Im3i+gei1bCeJ
AY418Ivh+U7yeT4MNUkyTAd8FA0x+bDyaDgp68UdQ1qXt64ERwUlLwDfUGx8K7Y0LMDDhg9L29yW
7bxA0VtdozHZx6U+0xALWX5bLBdzVakOyjPYf/+O0PGGOinSkeoz7ogqQ9GkZHR8w0h7GXDE9ytv
zvDc3q8BSjwxQR2z+lYexRbRrQUR6DYe7f6PQ4i/KTiIgeH/bXBwbPQNvGvz7M2jJ/DgYfJ3tQGB
EA8aQwLSAYR7KLsf4YE8wAQ6YaHhi2BMCRMw57t0C2oDgqTNH/CEhPcF5C9qA7Q+J5QA8scJiBTy
v0QHD7otJpyAhswAIIAu8hwdlHYcqzCVR/3YNtuWhzVNICdAETHJtJSVLlOuLZBWuZRjBsRdXEGa
Sca7NefAfuXlmHxZZ+Iu0TDxMzy18NIU7vhRy32bxTzOj/IekavST8lZQEOYUqg5EBBHeM1wo8+g
7KZWTS6fhr0UTftGawT1iRMclOEC3haTm6WW0XXNQfhIl2ZagOSAc7wl0wyM2Aiaxac8jq4cTrRN
nRv6m77pzAcxxT6tTJHHysR+2IdErEcxh0JM9KNuNy1yY6u6YZkhb+TjZagmCfXKUIKgioMpjxhI
RCSNWmzNRmi3dJu1NfVVmJu1UTLuJKRnGe2kbbpLk8frqsKI9VZEwl5XgKvQNR7jedjOfpb07VK2
9mZapnY/QpVBtjEwkSmZLWoVw47TDYQnHbZlMkelShirl72jM0S5EA3ocy6Wa9Guo0poO1478UAZ
GtGboPo6Bp2kCHGdLQmhJu0objoVuRF4NKBJvxJ/ss/WsQvVEV5zw067MaZvGF3ajbR6TpOyq68a
OnVv8mRqPKCKEn9ooKDd8hn1XdbIAfjxpR8Us2Q6Lq0jt9wa+j5CjQd1e25KUEm1kTTTrphv4oTw
3Wz1pLdFMybngVbuDShryxFhSXMp+GrPWx3JWz7F9KqjYlJ8CHQfRByabDUsXGsDdbfqo7w5QaKg
7xjrmVaOFDLlw0SOm2TibwXgIKymvC4B01RLewvs9ngMPQdWbIcC/G4zh86BDlF4a1QZO3oI2k/b
Kd+w+IgPBXpHyx7U9IDx267Xo2vVN3LI1SEnl7pwfjlBdND7SReFBb6gra5BVXM4rYUXBsTYGRYP
iLq1QPO30WVbheKLTRZRZoAWpwyyljkla9tkwLMl99Us2hOf1+QmwN7FQJ5N/ZSRKsaqkPPAoYat
0G03i/JMJyaUG+B/QbFo65kBDte9O3XJsqxqWN28QV2dbwTpeXVYtbV9D2cW2gVKsp4EUCJOBsnZ
nOb13GYO6NM3oejrFUBBU0LDRbzqj0uI7JXJ1+Ea4tBDFeCiervoodppHMZ90zcFHMqcFUeM45Ck
TsegBQxdXkLfgl0+LFMur3p4meYKzimlh3MJhDeogZ5c5TkvRFYCIzmnxnbmIrSabUtqpjMgnNgd
S6rkkOlhvgIGp3rPJ1xeFaQGDB+MH24SUYLIZUoezhfQ73de0OYiwiPfCvCUcyi8yVmzFAAlLACk
ERSQnYyW5s0ImPgcBIPyfIL33I4qAO0qmYbuy0xylFVAUqYs4vlHUdLxfRg03Tq8aGAXuim/CKBw
LVkFsv28D2b5tPowHRYxtCMAIW9Q2lYojAoXJT6ZzVj2isqav+9Kz27bslu3YalriBD9fEKKaQqq
CU11FRV9matSA1MCVJ5md/NMyYbTEghjgJ8tYCwS4S0rEL+odRlBlIW9T6HHA/iSLpf0otKh8ls8
ye4+siX/klQivlmrBdgKMrUXFJTQs9joBuQEEE5MKkCNe4OthdsWzk7HaxhwigrTHYKANp8Bqd6U
ynS0OoSn6uo0ZmN+KodFauAoIncIjj1YAN+rH9VUTvOmCFNRZQUQGLso75M94zXAd95Al4Ifgfka
mGGwb2tV6DdxSWg4rA0aL0HZWyK1gNb+phAzAeKtk/ratyACg4Lo2z0Gt4AvWKH1RrYN9LIANQ1+
1HZD7DIBCvEZXjgo1Tju6rdRHk+bKFndm7qn5mJe6qJVcxyAUUv0asvMWuDsvWcxFC+Fxyfe1LpR
cyJmfiQMTCkWj+5QoUGa+f8f4ECbFnACvwtvnr6z+UsTxY+J36AN9FGgBOhaBNCBQRNZAr1uPxop
oF0NXjOlEnrVAPb80pUGjYeMwHve0B7KAPsAKvrBfMDbdw8dFDALeik4oegPNVLgh5s8Zz4ANUN0
QuzhpcoE3it/jm2aaR4L4ipwANyDyvU/7J3Jdhy3trSfKL0AJJBITLOplp1EUQ0nWLREIfse2eDp
byTlcywf/z7/8vT6zmzLVaSqCht7x/4iCrpt5LU2S9rAC59kofjLik66GrEixRooZxM+sQO/HUOq
ZbQaD6NQUeACjiYqvs857V6dU6g5Il+1nwqv1G0k9KZOtmDnLcOlGTc1mvcbj3m1unaBGIID8Wc9
Rg2Eoi8rFq5LAtFP60NeYV15GoehwVZmK7SOS6DpdbRxIByjY4OKSSU83FxiweqX6ZBCecBJHpIp
kKKJ8EKOXxktt+91M9nHcQpte6y9kjyqbAoUCC1jrnXIGmwzp7H2DiNU9u4SOuzyIiZEnp8WH8pD
1OYW6mfRBXy4yXGBnKzmA01E52+PWYGjHy8YF0FqyAA0nux3sUbXtopG02dF2q4bNsJqTGy/bXms
BeuLd2bt5yme58J8crlv3vlmEc8tVtkyarl1Dx0W8LjTNtp1mLZM8Y27bPoclJn9Ek5YrI+EzW2C
ORbKtK7lLOMcsBk7ukCqKFPSw45lBSo2tsEWHteFM4gwVVM+YV8ysjTvJ/psw0GVh2LzcNkMS/be
DG59ZLoZP2o1ZtMpZ2hnMVAX3RADwnFg1/KZY4bMG7+GQkEWXLXV2Pd4j9sez79qjRqv7K5kMaKP
KxZkj9VIoafw0jJ3NXPjtvSHZu3I1lzLijJ9/O/CtcsHDLmyoll1/Cv5Wpg5uKvZTD/8kLD7MATz
gPGT/r8kbKzOliISVt3//2VsqJmei6aAZ0Hsa7ceauIH94sFm5O0WYj9Cz47bfZxLXtj44ATm6w0
r3qsugQBcCEh/6eis/hAOlmvj5ml6924DisYzlKNX8B9NJeqceMUU6ina1oXZEWf4lpx6/mgPFyz
gtJkGkDI00yGvngvBSiL93jzGh0t09ri0NYbJpAuCEidZK3KqshNY27PtphyHfFJ751zW970QUvu
jD+qE6/Qo6SiChUEj97wWJnlphVLeB59XKmp6/ejJcLCQlIkWEEGuS+GE2Ba1SfMBPK1V0F2oqLq
Lht8qDb9339r0N+Eb1TRvx6L/5TG8Pvl8dPjf1wf4S9gZChQnl0ZB468M30/rg/5C8fMDPsop7hY
Ql/+LpzDXArpHmR1gMqO/wUenH/r5hziuyKYpYH2Cfzj39HNdwPJz5cHPnshokjwowQGZPwGu6z+
E9Psec7ajgN2g/9kSbfeeTbVXcuDqMO2OXyctbbuHu0JkLN5pmF3Kvt1vILOsTfzKtzXHyRdU/rk
3senecZJ8rxr2G5Tl64yI4+gObLibH3mT2dBpP9azW4dIzoPNLyM2G35gHr0elKtXu9921VjzLcJ
pdkb3HypMx+4HBG2VYkhvX7lYvHfhR3raWSzIHwY+IzROrMWe//FoMJFvRTrFd28DwqjLOUEbAXr
pijghs2nqQQzrRmnoEKqYfiocSvk8ahNGESBbuZfZV0Mazxmw9pGeVU0dxWhnR8Rs81hPNTY7kVA
iXSN0pBTQFyuP2UZXa4CtO6YCH/rcJlJ3i3YxtFpiCcPq/HItj0nkawJlgnSzDYKl7wCzmGsOYKQ
NV7cBQZoEsSLMUymvFlupegIiwaHjUEczmMjIkuxI0/aLluxXQ+rh3GjJMPCfpm/c03G7/+Yw8v/
qxvhDwbpPx3c/bE/Dm7wi4QPzsd6EWQo0l/ovzdeCIuRSLgAL8IDDh/dfqT/7UbYDxL8C0DrfDjo
cDz/dXJhrKP4Xwl4C4STIAHob228qEAn+x9HF81jgOeRDGtvGB/+eHR9cDgj7/NYjbS+80ulvjOy
8SWCfoG5xuTdUkVTORKdlsA0QRZlLXscHNVrUo4KoA4p5s+CTTgnVduVWDp7Yv7WNgIbkq4f85cZ
hw9IZjZv46XQqwNrNVaeFxlIuR+mUrI10p4HpMPR6bMrw3GJXB70Tw235qBkvbS4gQLo6x4QhRLH
q9YvecAymuaNnm4M86SMdUdJFa+Y+Vtw8X55084cklc2mK45gr3Qtx4YOGyrBtpn8ToyF6Z0K4HD
bMIPbYTSiu7JoSyfy2722nT2QnJpiypgSV3PxRCNVtUsJTrPmniZc0WPWrhyOE6l17/bm3cgVmMj
2YGZYsXLhPP4mS3tuNcoXtHDxtodCGvsyO9X8LQ0Zt7UvZpNzkNcN9uCl1xvFJ0y5oiECnRQqe3z
LxDBFSrJpHMVBU1tTwQQyYozD8Q0IW2JfXYfAMBIgUX4Lg1NrhZM4OD50spWGJNHsX3GDe4ACJTK
624yW2KliV+pyY5du3ld4m0TUB8ud1mu7L4vY5+3iVsK/O5whPT+3WTaEKyRyrp4LBpylhpvy2f8
Nsv7sWTuK4Nl4bqaHrjxbMfmixkZvWX9MLrYTejaY9/L5g89dkdFNBsVPHYGVT5lrJNfSKams7Gw
O2TrEsxHEN3yW6HJr62u6jYdAn9J/DKgXdIDM+pjt/nSgASZ+l+bXFVdVASFuK0kL4EDA1h/3oze
5HWEhJFjpxHQ76Wwow/N3qnmFIxyJyKUshQsRKcfq9Cx9tjnXjjFQ5bhD7HZ8N91gYQ0qErenn8A
BlvrgiwWopHAHtxaeFG1UJkB5Mq9Eu6NoW8wlEygWcwm2N4q+/5HNY8TjCZmYjv6W4O0NRWusZRm
631QBP7rP6fWwlH3143ST4kHf660uxfv5Ye7Cz4FUGiotxLtDprqf7VIqJkE/xlWhUD4nLN94fBb
pZW/iN0hphCWhuoH79fvPRJ8XzwApgD1D+0W4/CR/Q2rAqf/UWmBNog9rw1UgUJGWLhTDD83SdPW
6Qa3bFwNrL5AH3a3g4DZIMoXaJCkDdqnaivqa798RaUTd6u05NDLvDnU0PmTqWflraq2fo60P2Cc
6MO8O7BtnE/t6KYvsHrNsFyN4smq2Z93r0EOe9O8ADNSb0WhUDUFlFtihlk8th2Ht7IBw/BSAhPL
gKd3w2Kva766EwrZ+GgNa8EJAKA66yXMatAPM01Na7cTUKD6S+sLd5xYQLEyDL0gGYiZHPCssksG
1LV7H1a0a1/3YVoPG7gt3cHn5i9LUmRA6kChkkdNW3EVSO+LKuPMTUCnjkAar4C19QZ2CnSvhyyE
saGYWnrW4YKZaoCM/akzkE255dOVYzSK107BDtctOX1V3EExyPU63fiAL1xSAVb6DENBHpUFVY9Z
IKrpsd9aM8Z2zFUqxlBfSFMV6mhryT97PKNeVPelepjnFULs7NVleb/S1XuGjQ3w8eAH5RC3a2Pu
GhArx6WXPu4vTtdjlslUOtHcCY9Q/IBqx7Z03ql31vOma1XT4NK0IsTrxMrx4tahW+NgKasr81Qw
xI6tcwvPmT9sSWGr9VdKXP4EQV7BoiChviRFuenxMDpsn0hB7RktB7lStROnOZajgUOppi0f0443
DLcxWlcfC+aPWY9yOou2iKuqYweC5zmKcWN3euIonRofi3pdTw1pvuFWBspuXZ2MbRcccytZvFZN
eOWjru4CwasyAtTsnauNunt0BU+yL26E6+vINjy4Ap0AzjXVNCW5LvBXdQCYeb4edVmDx6TqATtu
gg9nyO6azmants/NfQPV7AX360eWZcUxG/m7vieQffTcofC6DBdx80xHwK9eVgLUXKaTbkn3UhmI
D5rZIhYwa/yahWiJSQHGdpsum320xRg85p2+oKkOzjOkgwR/zzINegXvR6XrLJpmTt/3nvI/WOv8
92iT56NiInjfQJp98DujblxdoUEoSZXdVLPIPvK5mcrIBnN4gqlG3K60xIZ+K1611f6UMJl/GNTI
HlZHOKSAwo/dCFF9XRwQQQn6LKzgVqvHDeB7YBvYd2Zxy1RPE9KUfSqC+pYZUaWZajv0K5yktsrY
A1vK7eSTBpNFlJm6u+ZqFlWE3ZEP70s1J443+SsEteZgcHM/8mljn0HSy69Oc/UBltUNmPDG7xnf
nk09nS3v0jDoSBtJPq531ThWWaTmPvziDeFyNCM+FnPt5hgCZWqy8ZTT8ZmMvh9l66+yHVOpAPeQ
ydDncei2A85agtbnafJwSS/6m49ZjuIzkAoNc2sU2iI8ELhQks36DwO0z2iT7Wcrc4kXaKrTCkuq
yA+GMZ4H5z9Y2nynQIxSl2dtnBXefDbVfIEl9DqDbbwZpiVMLGeRXnqIKFN7WX0SpiCvH8IwuPA8
e+1qweJpMSKqxsDE9TKWD3ACNTBxTndjOXmHDE3UacjD6+zNTTrL6nGb9LmDx4eM1cdqGyGo1ddw
XbEqUsB9CB04fJXDF5HB8mBM6Edth9VEuaWkcAdSbe+K3PhRP2wH6rZ4IU0TZ1n4vaxC+b7RxoNo
Ly6aVlhz9miHOZorN8El6wVjrMhKozpXh9APP8jmSa7TI9QhESsGbnLswkc71c+2Wg6C9+4SNO4B
FszDKvIL0NrEluYJyz1QORpHHTStSMQ6q5OnRH6sFDOfWC2gJi7ymyc1nlVlftIQyKZlx7GULtBz
mVk+ewGcmeuSPc/hsIpobNe2jqpwLa+ZXAwQkm1Ky5V6RzdLfcpFz28NJDyDRXh1wOXIDx5QtRfM
8VPcw7sQA5yuUr0ofuiEDnEbACcvvCy8kwsQXNb0INkMdekqGLrPTmQHeDxKGEIqexvCKXTTz61M
1xC2AFG4x1rXBzgISFxvw3SnK7olPh/S3qkTqz14mmAES0yls3SA7flIRx/caD1fmmGrAPku27Fn
bZjoYWLvfa8BWD4J1kUwPqgYa5wicf1CXrZ8W94bG4oxWiTRHkxvs/OTcZoJHAwqlzABQxBv39pk
A3Hti6eVis0YeM9gXsszJr/mvuA28bA/jC3a7Av64Py4eXQ4/nPaPwzFf93+/ZeEpD+3g3imH+2g
/AVZT0BJ4LWHRZWBn/hXO4iRHPsU9Hw+4XsqXvi7YqZ+2fNbueKcg45EQ4in+00yC3/BjCwwePMQ
hlakq/ytbhBd6s9jN5pBKLjY9uBnYfmDufKPzeDcCW5U0aRDE0DHKfI1CO957ytoOiOdi4Ppm7I6
AsqVE6qd730L/cLpGH4E4U7bpsWvEkQECMlmCk9tluXbE8AKfBTRItsbq0Q3nWzvbeQdtpDjASUA
3sFotdNs0rUit6DKYSbz1wrXrQm2q63y6ky9qcVGdOWvzeJQFrK8kCzKJsOfin4IHlpEZAwHR9l3
Em43NmMBDmNoKVx0S7NVQ7ysGKqHyGFMftBzUBbfZ8/Q5gqvgwIZsS1wqhf/B14jIfonPGonof/6
cEQv9muW/yVbtT/4x3mgFJgUoyAd4W/wf15Ahhh0oCnjE4kcO5wVBa7pt/GIMsRwkT0GF9g1x6nB
0PLbecBRAXWN7E80+ByTEvlbEjK0rf88ESFGNyVgGIdcxv0QCtrP41GVbxxT3XIMgRFukYGf5nML
WeDJjLJ64T1h79EtCP/kd3N2XgEjuTu44WBghHXdPufghsWlLkGfR2jRq+YM29GwRAwmYHbsyoG0
p9VQrz6Gw4g/zSl4gLQAamYhsdY2xmfWgpUICMAZpzM9XzC7z/I4OlbWKSIa4E4uRjhXih62igST
SbvFmeXeC/p+EvdMwVpd5gpOkcxJclz4StmJt9CMaS/aFsJVvgTJBjRMY67wFYACBavdsVcmgEXT
H+GUoyHlPq48tTzbQRkNdXnBhNMMc2oH2CTACMNAlY5dv4anVXXFGcSAW2Jv1Qucpf3i6g+gawJY
wCEpA5KRkFSSHH4PP9IC1yAcQxq0VS2HdKth3UbYgtiOwcKDJobRe0JfKIZzuXTFfJm6fhjgpiy7
C6aW8X3XQT2SQ77pg8v0ylMq+vXTxoBRpTwn/mNRL8VuIZrUmBYTwFbFWwl8TM9K4z4m+ioKKh5I
GfjeQwmP65fNlHAVyiAv76CSWtAUahh0lGeZeRFZj7lkxCv/QlzPdEwYXKDw03MrTxr+GsDWwHAW
PW1xWxKKttWT+RC1/qi/OahPn+t8rly6DYW8maCtw1U2u2QKkenyQBFIAXcmHPqYONySzH7joxwu
hXGXpvMkpm9W/erBX4orHDNUn9SuBCFmRsBi/Rs35t4YsoqRMMbiplj3dS8os3nBdjMKA+e8xG+V
JdEqqnK77m1fEQE48ya0RzvGpn1wHRHf6bZ1p1DSYAvUuwAd/IvKx4A/in5bRtDtpiMfw52VYyUg
fmB6AOgMpe2D3zh7KaFVfath1ME+fKfugjcAr1hpl6f8DczrkMNxbt5wPYvXCOjeTvG1O8/npMDw
0czWq1O2E38BImk+F0EAILBhAAI9Jae42ylByHngBd/Qwa7dnf9A2CGxthBED+sba1i+cYfrjiBO
NbYqoNN3MhHbIVCKpVqbh/mNXWzeOMZqCacj3wFH1u7eW/Td6s7DOX+Sw6zP7Q5FLm0WnAHvtHEJ
hOhu5v3w3tsxysZTuk0In+ZvNRpYCBg7cine6Mv8jcQUrtC3Rdu7eAp9kcCE36EkbLDw7XRLuHMu
GHaW4Gzf8BfyhsLYnYrpdj5Gv6EyUPoMh9FoR2j6JesuIKG+ZWt9N+S+fzUQM1K2MzfsDb8JdxJH
KthXk6asd9Bt6Fr0sm/gDnuDeOBbb66YkYH21GArP6IoUwzpbCQP6xsGVO9EEH+Dg0pSe969cCqH
qKgDUzz6i8g+lWogU8QzBqaaIQ0GHbw3i7PAe/8J8QQYcdg4qbsZZrvxVPJxiOyyVRj1YcwE2ude
u2UQw5HkhHwfAMK/d0vQ3HgghhAZUwFASjLTdJ+1KwwqQRU0V3hWxIxIoS1APc0Wlh18uZH8GHRt
jxNRjSdvzU4dDlIQe5CY4XbYw3xiAFnqBLbeew0HhwgCM03Dk4DHPK3KXH/aJhz8Dx6eAPvqNkcz
owob2KseJ8ujIDMYsBGIAzLNbOqyenCPne1SM6D6tUFqRyZtkN+xcuuXw9LXGCI4/DtVnHsSuRvq
jUZoNDUMJB51l8y19ikjvPdSvoUL5ucFu4t/AOH0267Z/69txp++OeKnBmV/5L96bjTU6KcR2OOj
5cZy+feeG3EwZMeVJBJ1AXHjMb/1GAjRhcqKgGMfcivuzT1I5rceQ/xCsZlCz+1L2LuI7/89yEn8
qcdAfxFK/GoCW+89nOaPPYZdSZDnoYhdrRisgV2WQmBcDlk2hxHrFKzE6GVvOSKrTi2Z4egq5wF2
CcKyz77uRKwXhy1so9mjkWQ6wM+EFgJRI+MCLKVVCCBBgESfzCCE49njcA1neXmZbWMf8NdrjiW1
L7DiNp/JMvOLqVsYPRgsH/uG6lQwv0+x6viCVARodrtFZLd3fPJ228iwG0iC3UrS7qaScPE/YjcN
AD2DvuujVMTLbkSZV9RZwFBVTHaLipEwqww8E1frT+rW7VYWfze1DHC38NohDGbIzKXZrS9QVKEP
vvlhht0aM+0mmSAcexi+yjH19tAvOfjQhsNOnhH1Ra9ywc4/3GPCgj0wzFjxvd8jxAyQU0gaXtYe
cE1h/W9Cd8fHNjvKEIEgkeiVRewDh12ta3wc5Q161sWwfEMITfdkIBpiRl9g5GkDjrXcHnUm3lLP
+i74UGAhBg28eEf2aDQM9x6cRIhL08j1esp77R1co7tXUUjPgpvHGp+pI6D055XMKIkCt+h2V7R+
caiQuXGv+kE+C5h/L90CBiAXY3a3YXWGPBc6JXO96sg6xW+q1i+fahf6Nx1g3a88zNWnAIEgRzU1
X/qhqJI1g005AizdWYCwxRp7S9FAW+H1V4ABsN3i31Os49wFmfrTu4oZ+5VssjlwdFYH5MbAsiOb
/pgBCOrr5Q7mtvWwiBCd3Vh8Ctloj0Tp7XViDWzQfabiccjvCIataA1ho176m9KZw8xQCovaG9NB
zNmlkQaJINkE2aQEWcxAkUF6Xv4B3hV89QcQmP9a9v4YVP+72vDvh/6oe+EvsKFCUZCYXthbffu9
7kF+kD4mG3A7CMmiP81WFLOVj7WUj71TAJUev8m/Z6sd2kGyLkW0FWQKDEN/Y/Xk+zu8+ZOtda+t
BL0e6i+D6MDeIICf+BwGrzVaRVhNKTUPjhj1TEOoJtG4ho0+ZpBK2nNBjYhLwa13l2NT+w4W/ArY
Yd94ZWRq20NMpX1cCAr+GTRfPcS4c+GyN+hgIXgjkO0e65Tunntk3J3k9uQqNH4IHuqxLqhVDZ0D
TnfIuM08TY8edd4zKWv5hEkgexRN26p3Pa+QU8fs1tw5hYVFnA8WTSLfMpFgNZM9TcDByyQHLnfy
qYfjv3gOIUjwGp6zvRGRe0vC37oTZoifHbDsge8ANo0AOvSwyM9FWCCmaPHIsCaF0IhDzFufogLT
4YbVtPq4dvAgoiOv6nHnvP27RWwM9J6eoeSTcfO9s+PG3a3oNVKwmfOx1FV21qSjSS7b/rpWAf24
dGaBVUFKP5oWTKUnKS2Mhu0iH71qlTViGcu8u8IY3zw6ELB51DFSfZlbVX4IQ9IfSqJhFFK1RaqN
NUlOFjIfZwK/sPQn+6kiiOJDHl8N8b8XCPIi3nAr+JTd17CvPmyINQOhC5/7mGJeqhAigcNw9mGl
iLA4VZ/wUV2+69m2n3I9NwlW7YjDWv3tY888TaIRtMJ86GB7PLmyb17K3jqT+rILCMSqqr9D++1/
AdqBFaMLgjthJIDeaZTrAZlVxa3uEfEySLp81Y3vzkoX5cdqagQ8MOCF78um0Q9NwWZ9rGU+NgnS
gIYwAdnELzk38hUoVfBdOE/NSTtXBFS9UlohFWcqvi5qgb0ADmsv2YmTMi66vYm2hQJCsUyVijf4
awKvAyHcITsDTezc4RXMLfsw67l9KMJsHA5NyWQ0+hViaqpsJccpEEtzEk03fMZqiRw7WRVXJHVs
SJQK+pXF+I6N4KndHRcxbTGuIqZJFimbtyo/0X3j0hQF1P6KFd4zNQQxIDbArI61AJI159XcWjHK
U+4ahIR503ADuXh91EhxOJShWh9zD8tLpppZRPBk7LPmvK2XiozYflYITnowldoNFvhQV7avEkSL
6SJu4O16qagsL0hfAWxWlR3ybCgCO300wnO7x2UidcZbixkcMPFhwMY9kX/09zNmGtSDRENFvV0D
2n9cvZnHJVXfu7bMXrjCBjDy0Q0hnyjPcdX7MCrbA3SNObJ1vRy3vBixFNOe+IyIoQoQMuSOj6Po
+KdlDPn7LkM8WqQ6MyD6ZGvuQ4aagvyLXL7mwHuObEEMSAL2R0yRGsrpbq6RWHTc1g0/jAAQvvXE
kr2QgpOHEnxSESFPKMcEWPTnKgv4Tb+M0B49qz14wwodvGt9SDIJYrtUniJzxIN/2PUPeaimOzEV
WMK2pXEx1jzeuZABRmbl1JqEbiuTaVPlq/R7hIIi7GQ5wlKC0KdxkKyONwHB6bCHf5x7OMUgnuAP
7wjmtA8kIzuEUoZdnVQwme+LgpG/pzZYTl4QtsjPZDCbaLxvD2ZuOUYdvmbxtNXPntt0ZLBbeNgK
iWq0QlnRQ4A0WGTYmBc5IBAw7htdpM6EK4/nzHZTAhWNHxyq/6eeeGsYLavyEUUUIhgQFt+2eZoQ
JmAjIqcOaW68rscPNPe9JOz68kubV1mig21E9ECjD8HklqfQeAA1M23tfV8CQr1R9cC9lKCA3RLA
NUVcIhANRjFCkJNXT6xfTkPDti99rjmCOmTY3fiw/hWXAqjwhMSYNfCvmofFjIZxy/1EaCNeyS4u
T7vMjF91VgAsdwV6gcydetNqF7A5SA6YNkj6yYpK1qLMg4D85BmTIRLNH2B42aqpT8MCeVynBXSp
OcBPtmL9KNBmH1jIsjEu62n+Dt7JZDcSGVz0uFsNqpTUgZDHf8zCZQ+++GtN+X78z+82+2na2x/6
o+sBViN2QpHszYvPQN/8q+vh+BMG1Ri+FcS44QvxsHv5bdoLf4ENBq0QdGMf7RIReNBvXQ++MQoM
Dp4POdwBvvzh76GNiGr6z64HjmEZQFZmBHk9aKb+OO0V21pBVkVQJewP7yZdhkAiijD1pNUgeJ1O
TTUCAbBSIjevduDiDbuplS0OuixQUFZ21xEsaCs9IHEY1fudj5s7jyZ5BqsRd1Idum/UA87fBytD
kNdCzcsMM/AB5in0EDPs97wmz7igeTxpAIvU79H9VH5SZSW/rUoMYMFGacIXFSZAJkNEe+AwO+RR
nQidyrsG6Tyx9QE7uhb7GzgS3XtEhooH307dPWooWjrvtQ7r7jJPzXqEX6D7iATpLNIFeql4T++M
iTQfwlGkDOEaZ90U+n4ocOuAAIG0IibIuY6qtGmzFFnHGoA2Uoda540nVtH8Mjiz3qw9FORdcPaj
csBND1uf/5RnanZRV7WIBlYDlbeIU2QJlV6YgAnZTr2H2sGDrq4PiASFmqNU+4xlt3cJAiQDWr2G
STuI8Yu/+vVdZliDYI/FJv2AXEdnu+diRBCH8/0L0j22GFFNSC/TIzn6rQMoWbWjSAzMurcWktZN
CbazjOam56nIKUXkqpi/kJ7m5wpo+sUhb+rMpHuGfA9fqNbDcoWfpYlKCpaiklX/IV/4bZfV7zRC
B5HH0JbHqShpvPozfs7Q4M3CO/zas1klql0JRUdAP9l6nKOgYxJsqGM3Wrv5JAdA3EhqINe1ZdVN
wLf51MH1B2LV2U+ENyIZs5AcoWl+kMgzS+cx/GDkUp9MOb5vzFTFrgqHe/zkHj5uZxB9uNA406o4
9PCe3o0KV5M13vDMDXIlARpEA12e18HQo2tsftsFi/4oN+q/q1ZDbnzuIXgEu8JT0IHqdXXHTziJ
4b68lwdnOQCLcB0ORQsnrsOSL6Je8YLwzQovuNd9g3mpRZwgvvgyph0+jAtu4Ku3BPpzAShiasj6
XfZjfyn7jsYbGoKzZ9X2MJtOnLZ2HeMKr42JcEinFDGt5NHyGu9YOGx3wALaK1zxE9afaARhW/Ai
VSueY1sPyxFklj4WHRiyKjMUqErvXSB+VI+c8fVDMOghabG9OPZZJV6DTVXvi3F5ly/Z+jBgfRN7
skPM5GoeYTb/hFHFvzPLZt/XjgTvJ5QvULwwhI6qxYCvB1AogVzUbQ/6OZmApR2YZyVywKr2ODPA
BuDiQFcJ4MsbkgrbNXdHcJxLjDg9FBZTe0+kofyh3AhkV4Ww1AFxAsmwIEysmYfPRRuORwQgYL9V
wWPuhtkdQMl+KxFP6894aiX186Z3UkQgTxJtaoR1EYT9PFiOXgl0CSpNFnvTMn6QW9UkeyMa4ztY
ymQWrjm1+DQhqXTL0xkOZESyYGFSbhDS4ZbIz2vTgOVdhzHJsbyKHAxy0YYjnJSr+cYX+bXbBDnZ
ZSrPDXNlIisZxEAmbwABQXEHYdasyHInZfk4eluWYFHyHcjlnSKAErEuMOsRPcOMyDZU1LX0Pqx4
MxNEjQpkuHP7TYtQP9Cy34lF0iTEX66u14cOKDI0Jt8cwDrXsepcjV0PildTl9e8d/AvAMjCkgcr
7FPRbixZ0EOryCKno0H68f+Qd15LchtdkH6VfQEo4M1tezve8gYx5HCAgjcFFICn3w9NUaKopSIU
e/frTgqyyeFMd+HUycwvtbOqAwP1pLkps+a5i8dlThYJzw8vkkF2VNU4HpqifAyiylhrHD6rXIAD
+t+fBlhjIMTyXPz1LPCXwsu/LEC+vfLbKEAaVadNMCCJyhPXQSr+PgqY2DDYcCAuMwkgibHC/T4K
QOcwZikaOgdXJ3y4OGZ/HwWYEgg4EEvAbOGQGePZ/S8WICw5fh4FYIOxSJlTGOSUsF38dRQYKhZ6
Q0xbc1fKT35TyxmPrx4S0DaPTKfJwXFk8wL+wOn2LneZcs2MGgE5IFT56OlNdl9OpvsRQp324V7V
RrIseTPdInZNbN+4m64tyxq+xNmInR98dtBvnDB165Vu4Jw9h1COMYgLf0RNYV6/DadSvzGNyG8g
JnDTXHjQBKejEmbeHIaJAEZQZem50K1EIGKP8nXOUn4ZJ2gIR9knMAaDan7bM2BZ4VaZItOWlol2
Ah9hmo66cIxoHWfF8DHYQ3lnjRYAxWimH7CoKKxdEnvZY6YKYNqm18pXL/RzUMd5Na4AU4a3uC4h
Jyt9jIwNojT7bRCdUiyloQ9vWGvYy6QCJEbnQ1hYhG5oHXvHrfW1l2rz2eU2ubPPrdRsryY4SN7S
r8BXdkMFBA0kUr9Ji74nxUm8YVoqu8IhJngnvQBqdKql7obVXeyZ4srTwv6zLKahPEWDhdcx6pv+
C0A1M1rBKrCiPRZIazqUU1oOd5ajdeIeTGRQnHI7I9Ei4zFnM+sHT3nq5VdJ27kvRTribWNPdpKp
bq6zhh8Lwpz6jDETHJSm186pK01yrH08qU0SZdUdxhVJpFYmG4orIC1X04S0p4nuPo0UX2bX6mjs
iT/cmn2bbAw8kq8+8Od9K5r+BBwr2YAhTtdZpicbFDseZmGfiisxZcmL7VfNUa/0+nNb1smVmzv6
Sg18O1n0xwqSdB9x+IZOsp+6xho2PdfeYfWNodmXVl9tpMzFBvRR/tjYY6dW1VTHNxx8XrbGZMCy
DkQxg2kr8pp75z/ANItMFx8jJvCdDxoXBYQ8+INZ9tp4Jf9G1dRrLwRpFUkvp43DEg99P2kaIkaB
S5dfjJMzIqF681NGVTDUWb+uBFvDlVEM2l1r+sOGZaRYeFAN3mWu5zsMQt2+CQmoBgPDJYtyfY2t
zt54ARBZiwfcCiUl3KjE75+gXw7XqDH21stx1ykkkFUGkeLV65lqE5ZQ+wG3HfN5bSYLi+zNGUwO
bzoVFq+qNkrMmLH1OOV68HVsE29jTlqIgaFLr+rRhB7nFu0X4ST64RvE0/WnVVhoDuNsHp8tZb+A
5OrA9GVAKXvb6Ueie677opooj56r3g2DQzsRm1xpQ2p/rbwmJeEny1u/zwtrkWgl8rQz5EV3nlLY
yO+O76bhQzvwhtyklbCCxQjQu1x7WgvOM4BS469D3+G/rYDmghVySNUszJ5T9xyFhvsSxcXkXWvh
OFk71XTlmwvWvlyCcM2+ENFMjxU48qOLmmwcM2tIoLzlKsCcXRbEl7E4GtaecTKNYt4wja2WI6F+
60gWyJF3aZpMB1BAw0JoWigOpZdD7GPx0RWr6DKbglXfF51efpmSQntx2NGc7TxWj04ee85SQn5s
IONo3OeJf+dXlUkMae3w0c1XprDtq1iagAW6FLcG5GHG9GpQlJpEU8KNhmDQKFaZStMzFmsHoy2E
kS8tzuBw9b//KP+u4nLT/vXD/C/lhX8+zH947bfHuf0bmWCsXaRi+A+yMz8+zvGPYSLDH+mYPEoZ
Hn6/2dOuFPAU51WXZQCRxj8e5+5vFr/GPoBfZgSA6fxvHucuK4If5QwGDxpHeHDaLrICyZyfWBVS
q1hV+2JZf4ujz8n0YioJqctLYL1yyK6HhNjJGxNnd+dkO4vCesQPowdcSCb9CuBteuLu2236SzC+
CAMQurDPCcyTpyM8Pw2ZhWLR42ZnOTkH7P1L2F7pc/DeuoTw9UsgP0kUHMA+5EZ/CewPiD6E9y9B
/pn0fqjmdD+DN7peEDXDlWa46j7ofPxNheicbj0Hq8dFVoOlxiTZc4plA77p7oITAPcwfzZJ7Y2I
iRAH7Jk94Eq9fO8jS/NwoQGFpllHT8j4CTf7CJr62FXJaJ3GLmzHh1ZTQXH9I3JXR4nwl3lT5+5V
TErOupp6f+iWuuZq6bbqHat5ycjU5LCHIldd/Xc+X/+Y6P+xfvLvHy9e+n1a5vMDtBZzD+XpRHj5
EH0L8/PB801v9mgaDMv057Bs+/3jhZ/Z0U08l6zGUPIYZf/4eDnU7cCWudSX6fwG1m3/Ylrms/3T
p4ssHC4OUsEWGBX9p0+X1toptMR02UmZHcAnDztrhjzEEHiBo/FFOKQteniKP5xE3LzmprQfu3wo
Rfz5L0aeRCVFesRfjZbKUfajA7RwfKMxrHRpeLyvNz5awIce23h8siTxjXMs8NRBJY+a29GtwfoX
YL4oqMlS4vCRzd6+idz7RtNtTIl6STEPTWhPZuuDFU+Vnryx4McL6pZGzCW57It3oruA30XSw6oP
W4PwiOa3ctW5nA6rZlRus4Bmw5VAir5iQnxy0h4X4mK2gKJYBI12kgg/7SKKST6sXacsnjUtNj58
xWp/RZTlxfYib2tZNF/gYrLZgRm9jtEqj/I8XsXG6DNJjiSfQUxObr0k4NbCobNLxFmfOQ13Qo3J
zi0rPAWKb8ATAL/hDmz8OKxoBsmaBaqTNmFmmfCjFn6hSG71jY+9JepWoz4ar7yC2gHow4tpGv0T
Qdh6V8Us96vcS491L2zsdb0hnkF9jzd2V3kvGkGPzyglxKws/Cnmxu2jRmydzjS2Hsh1VK6alYwW
D3W6CIlV7CmhoxAh8Cv7Zgoh3K6kwz5yYSYtN3G9C7P7FmYdFi/rwas6vt9tPWgoXSgYOfU3qebv
tFbETC2ePpRXDG01dPMR4uhmducOIk+LdR5YoICBmnX3ykpw0kEKhBlrWX7yICDuyDVEFjSrPkxQ
rjlvLRZ7U3MK83HsFpzKAgkxJNyxFLpTgPGKK29m8Muw3+KPsT+LMoc76hl9uCRXo9vzZcMzFvqD
X3p1QLbOpsaBcMel2QMMEfjZXCyF7GW6q6zQDzeQ2RK18qC3vvo2zXs4WBzARoiVQI4aHSveaaw1
NqjmaO3nWCplTTMaKSu6AOT9BZlEirH62oFR0qa61YEXpcCV5AW0VDuxfabyhykpvaCYFFAmd6Yz
KX/0H8kcRjwjiEYhNRfiLrPxSrdDm6XX3cDHHVMOobv7AShYwtfBWMk9Zuiy/X/mfLfZQfx6flq8
jV+z9tck0/nV3494bCAmvg8TXcJh58Bp/e2Id36zcLhzrAJNmRPJPxzx8y/NIxSEc49itdlS/30h
8v/XmwY35q9nrYURxJjnN7gTOumYGaf641nrfe9N08FW+idvyrA4+FoO8Xls2wI8b+D3yIemAfoK
54h8sCJLEXqHDTEhLzvJuIngd71Kt1HPFIdUH8RyyTa3Wrf16eZwlgY3j3NujAZrdAKh5kIITFEU
teXVVxatQbBIGjKma5vjd2uC5nXuKniX1K4NttTXCYaJR7uv5dUkVDAuOgwm3KwGH1u7oXdTs54s
ffpSYF051RmOuaWh+fnOqwdaIIQFYnA5pBahZWscKxCglR28QWuEIGGNAprEjDCALCFLDFO1rB+1
jqowOsqal+BCo6jyAjJFPEMqPCp+NBKyM7uChZFqD+rCtGCujN9UXUC6EKxA3/ML/8I1ZxaGmLEY
2QzIKKSFxDzM2Az2Pwb+wXSmadiW1bPMKALkA9OH2QcXC/hGnDb5lcdO+asJJCC+4ALAK4AOCKIZ
IxBekALhTBeIL6AB35xYoDgNbEBUbC1+jEArJOvRaPr6aHZB1J6K2PE38MN96wW+e45E08e9uXbY
W6whCOpEGOiS+cJPgyX2aA9C7npbe02jptmN2YnFvTJghbEsGeL/wE2LfIyDdPlP58TfGrVn/fSP
132/YzkMf/QdYNmYra8uH8FvJ8TcrIhoiV1M94yZ+vSnehr8xnQ0T2WsRoP5+vPnCeH9hr0LVgzu
HYfEDs6ifzME8oz8+YSY7bhc/VBy+WJsfz5BfvCMlXEhncZMl3YdpOcJexGOFGr/IGiXmXvLczE8
eCPdJsu0ZnPi6lJ8BDVFQZqBs5IsZbJx2J4uS41tTStUsyxaT9+koRGevG5gcGEPJKfVoChMg3op
G4xJZYp3Zeit3eT77YMjovwjmPWPYlZCrKLJnu3UynewerEOiMBODobEykMsAkU0K7J8aTvVtK38
sNgEeuStk1m5sWYNp2z5bjI9zhqPnOWeIvXsa8uIBmMh8SQ/NrKu18AOu88pClLaNlEIUABpCXIN
NFdKx/J7XWk99t7Ybo1FwXb3I6r1ksWdOV6lXpp4C6a6cFonCdCTdRIGGExsF4bVSkw+3vhqVtEC
7oXVsqqhni6qwCxfx1mNc0bRAiiYxboii+1bYG3hU+8GiI6x38GhvexaksvepZ1XMEy902G47GWm
y44muOxrum/LG5QXNjmlGVcEz+sqZIJiJZeuaS8TxhEAVHrs53UQTazpl9odBZWW87oo0ubNUd5H
bflsXdZKzWXFZF/WTXAMWD1VAySWNSNilVCQgONunYrWDBZOm+g6ARhhqendSDpyu1raV3iUL9su
d158ZZ5Ij5qWFc1eQqcLDnZlwD10SsvMdmNORtcdO+muHOi6EGgTugAudTl12Wavpafww9Z+uXLp
Wvo6VqrfJ6owjlZXhkvwCreWzy1gbLrqME1++sJj2N0biUltndN05mvnwMfY1JFyo5UWFwJNkXMw
THgjIs+Fw5pPY/ROu6NYJXZqHED7lXNOaky3torKGtWWpe8YV+V2GnsBbbur9oMIDJRap/zaO5KC
HGLl5pltXgAhr1Q3Bts8mEJ8IX3XeEvm9ninUtmvx0ha4FwHHonUEu0rNE8cLoPnvxZWf6uEdkYu
bZLFVHns4Sdy1xCEd+R8HKgRCLlqqDisk/J6jBWBEzJficq06wzdL1LaG25qFrZjsuXxbzxhHLgt
tbYslrlrPsaW7eF3p0hDz4vhIe1nhmNbfrhKROy0CfeHYxqDIhL9sBnd6dXXfXw9RftuR4P5WZNy
d/mqtAKZljusgH9Lr6UKBhcvevU0/4ZYqttEM15hD9JIYWUdxb1lswkxiO/Dxk62HvvKg7KKE9H8
5q72WvoHmaM2dEXpKyqqbnvWHgjRGa1IHKHnygCakWXplVOmV5lZx5tS9O+FhbUrLG1rDzT3igdY
5i6cwjzYEqSzMymkiBoZnPR+lm1CIfqjDxzjRC+HWFgYM9+cJjdeCxShWz4Z7bubm8Sx4npHOQkZ
eleaX916mtYKbtCdrHQkziQOr2nQs3cUId0bThvuqtzyV5zjz206JbeGOxCdHfUnM+zPjj4wk/AH
RMTNMZax8ilhOizsMbKemoJKJgcRc/4fCSVuMFVyoM4D74jFDJRjbNlZcV3DO0q6RWHQDud29qsm
g3A1mDZajxe+N5g1uUJlVxjcOlz3YXak73J85HYBGMsMkpVNnHdJOus2I/8ALEKPNonhvY8hbk5L
COshrzvtLm+DbGXCp9rCKnstWnrNtsMw//gcK8JvHtYUeGBWJGLwCXgGJhbEsWWOrELrRXSV9PZN
gnyyRacw536c+QI3eGBJnAnYwdDX6yYfVxghP+VdDxihHsFtx4ON3jK4S0HN2qrkQrwNbe12NDK1
64DSXg04AB+ou+1oRrGnQ0GMmSksJnOY4ybGseCAFmCI4q7Ljz6zGzhQ/5nbjIXO+evbzBH6gih+
fZuZX/1tVgl+020PbhEcO5D08/Lp+6zi/obsy7DOwubbPPLnPpheBgvonXtJunOXmSeM3+VdssjE
7n3+QAaV4BIr/hcLK65UP88qaChsjPCb8VUgaXPZ+nFWqTxiehxeW0rp6wj/EKZfd/K4pk84gauL
J7if7cGkOeBrpxfXsDP52gq3Fl7idLYVkxTQ5nac2EhX9sV5DGvW/XA75X11Z2MylU54lHmCYVNp
qmgIt7oaw5tqrPzrOLHxNsNQSp9EQDZXTY19DaJ4DotS19rwOboWJqWhcKvKZ6dpaeHsRlpjFm7G
v4yaNLu8DsOgejOLyDuy7kKrrdpk1VWt9Yhj27/z/FQ9RDa0FT9J05twIBTMRSH9KirdWpodzkg3
KbynyCqKp5gUaLeVEhCGV0j7U1qE7HIaaRi3fjd5cxdtqZ6zqKayp8Eavm6lqdnLbkhQiyS+3TNE
X/RiPJbHoR3KV9MbRz6LkORpOjWvCYYbVDTa2UZqFN2hAY87sojeRycH7XNSh+l7AuHwk95Asdzg
+Qo+S8A4txiC/WVYVNOz4rFrAZwLjJI8qltdE8xNdxbw4fPQTvVb6NV6vDSknncHFm0ZmcMZvZ/M
FP5p5vGThI5fqwukP4QVN6P+YffnCT8deQH6wywmEAPkP2+nGfc/a99WO3op9msV3PdFQY4WWaA5
e1xNUeAlJ+nCrpN+BjVTLJC3yjyXvtausN8CrDLm9oGkURQRSGR4C+An/QTJ3FSAcSX4asztBWru
MShMR5FlHik3mLgkfkxz44GfdsTAsT/5kLYo+sQUHEJEXlJdkT6BBac2wZgbFIopqr9cejWdrC1p
FLOy0sFExO4IA5LS6IuMUeIXBNyRRAtNeTE+oHESKwvc4fVEf/NcXyB1GxpVkY/rH8s183FCP1/g
06LJZmnpWfjm0Tc0Pn0r1PQzBoK1O8mhX/5YqyncWITryeirDy9VYm/K3rsyDQtHQo6YDJalwjhB
E+vRHcukWxVN0yTLwfWEuXLoNTQXuqLoUvJ++tygA3729FqI5/DygKCRwKmZlkZA+VNqR2c8HNZN
1OExP/bgqXc+dRUnq/cpK1b5MJEoNhvKLgO3uy2lwo1JnhYSRjxPueyltSyePkZLr94DTQ++dIWs
0mXJQ+cTjMP4zddlEWAM94ObqOqSc0qyg1xUShu3ptniRN/I1K5nzrcVzsW9oR7ne88lCL8ccqOk
tN1s3Wrrsy8gzlDK92rQs4hmKWFfDbUuX6PacrkzMxUAjxwDccB8zM1HJ+sSX5IEGTFzNoNzwMAo
cn1rz6GDyul6ahovWYRmjiXg4cd6dskqdHNsIZ4DDP+ZR5uJbPHrR9ud6L827S+pGPOLvz3ZZv4f
ZmMgrGRM5//kmfftFo5mGYBYmjUatBBmbV7zuxQDGZAFGpd3BGsXs/IPTzYEnLk3cF7uzaA/WP//
5hZumDw+fxRj5r8G5xLgGRtnIcHan41LVjGyJ8iWuHv1e2498jEvhH+2kkQ8Zl6qzzs6epv3VEwX
WETIV+CT6TX9OcpDolaYIfyVJbOm3ScRkaMl1znylgPVLA+pmKhMHzz4VtS1Ruo6KB3yPN3IpmkB
4rT6gkvFdDdm7/tgyTpn+AS+fbiXtmOHM48ebDB1uPkNrJph3V+wwroflw4+/bQiGOpUWPdwkqjz
UJs0DA6QAGBEW/Obn7HOJipjkdTu8KBWaB5CUuKaOvROVyTGRtBniXgJWYW9aV2TU2KW68CTvdFD
j4hNM8cXGiOULamNI1yZRAl5B5CwtKVTq5xh/9PgOQF81KO9k2RQqBAWtEUBUULfoLCNzKN93p8o
u0UzcYeYlhoyaOGbmRo0+QWm4jYaK67ymIUt7Y5oeve5rmjIJbkaGuZVENUtly43LboFbyx5I1RI
Ii28gGYtJw7PUtpFsVVdhoQzYOc+qQug1sTylC1pcQZcG6cT7DV12VTGl61lT0KeoNm8zMQZyV6z
get+4jibvmDgHZt1SXOsuwjtanJfxstu1JrXpFbcd49NAkpgXV72qMZlp1pmZr5lldlPa6sewoBI
MwtYkVbsYoeWMgDou2D2tvq8rqW9hc1tnJPNqed1bjgvdmd5hL2Lbb063STGTVxBoFiYl32wID7z
XEAxmLWmgdTu//75xAgKcuofB+8lzuH2/1zOqL8fUX+8/vvobXvYd+a5Fu8iVsrv55P3GwLSbN9k
DcimjiH8j/OJoTygXoCp/FtoflZSf5+8qSG5ZO1JXpjAntGf/9X5RCTjp/OJvL9jzIxqbCG6PovS
P07euhJjYIfpaigonVwldVldd6UzNLDsjJKPFYyAgWYI0HyLrk2tM09q7RO2OddZQMvQs4VDewJ9
GUH0iQCTlSy56oFq10RD0r4E3zksbJUSgUupZAVro8mYnVqqQA3T50PkCY9a0KxGdwC/EyeeotxU
EKLATu2W7trVRVVyTkTLznVFs7MLO3vBnmle2TENV+s5H3ENjTl4i6lifqFm2H+vuDMTGhlnxknc
tH26GLEauy+hyV/7HBFlcNjYA2chjtghuo5mFuQHFPGsRz8wQ2/VOUDE9kRgG7WPhCfCrW8odRMA
iY8Yh1qawhLEkBIVFXfojZ3XVG2FM7D/upqSptpSdeiOC0lbmFqlyRBzqVBtvQIhQ+Uo7pZOrQOr
CJxDoHQ+3rBN8UxPIwTymRVpMFMiHtPNMP999Jm38dKtafeEbZxKezlFMQkDH6z+Z8vs/H2fFXm0
sD1jCFcym0S+5ngM3+G1spRFNdRO1NTTUN2Tck+2NX/EneFM7W2CK474n5YCU8baaNIp3hZEKyKM
s2Nph++qtvEf6mFGDUqFpl9i8ZxNNV6hsZjy08rxwTcr19myIeSPYsnXPsmiKl/9OtCcNZ4CtgZR
pUXDKgoUEpUJBa3eqLjR0qWqyDugwjvARXEQ24+un1vcbGgjgfoD6ehMAEKwZJ0m+o1KU3RAQ2N0
H0L9pvtQW1PdbMw6i8mR2gVYcOKJYbO14iw5m14okx0Vf6JfiEsrQH1pCCB4Gdx41dwbwLY6D5bT
pVPALBWITPrL+wNWXVoHzEsDAV4/yOGNmtsJ9EtTAe7DmnfdpcaAHC2GnYx5mZacLMfIB9bT5yFe
UjG6kEliHtnUoGTjrNCwD4hQuYuuauqX/8YhCzjvn0ZAToei/H8fr5dXfjteDQ5Ez0Ns+SOq9v18
ZUcxH7dzdB955i/QaDYbHvsOgv3Mi8gzcz3U982G/o2yxjPAIhzHvPYvFhuO8TdLDAe0B7qQbLGh
o/n8NP4Z9JVZQePupWTrsMyc1HgFPwJCo2mL5gpqFMbqvBaTdlDkKzddZljL0iNYs0iIGeEyiLts
9jJwPiyCmLFjb/sTWVPN6zVrE4kYzrQ51kgTsFZtlT9ZeMUWEIY5QKeq5a5uDNVDWmbt2RhbgGSx
1KzbCvuEhpskDsAiZ25z3ytSyoes0YbpTLiIZV3Qa9PRCyuNAsCRJrkvI16VjdtN2k7UADROvhbr
d4qTGhQoaTD7RqvHptjFldJXmZU43p7Pa7tVlFCtW1f5xrqs44oCjtB1nztpadUyMqL0juArNLcu
mBZNpYHWD12/oPkQ0OnaYaTcSrOpWRkzwRo+RRh0ZaxNu94msZ8c5wIbITRznbZuCB16Mu9SElHL
frKvSfWWa9ocos0oJ2MvGNEWFnoVNuFuCd4VYcyQPGxIpXcFpPxSghXQaDaJMWid8Ptkp7rSHm09
2+YOQZvCMc4tz5FNFml7KFfA50jtmFw7FyU33x0xYCqEcyy/wrKcfUEj4LoPeNIYnNVWX+wDf3jz
O+3QMpNyf2d5KtVTghR4NJFt9RybcJ0W171ZHw16o1Hz+21cZnuaDMDGtsCc89ZGDWcrJlIxvFSa
N16LuOn3uefT8T3CZFqFVuZ8CmM93lNclL7Tvyk+1waMXNmPzlJ1U3/smia6SzQnvvUzFDrAeZyb
R5IFzXgiaccNInZIpi0K0OUnjZ6jRVWAgl3aXFE6ykydJN80RZAam7Bwm31mFtIjWxANpMzrwLtr
Qy2k7zvTiq3O+uKTpvfmLpjrWebNC8976WwdAlB088WjvdMSIV90qBCPZgJFO9GqFvKUquSJf1V2
AxBHMxZT4yTVIvfGtJzhAP5m7AITMr8e6SlJJckHKnWT/NxQX0yZJv4C2jIhIlJexRSxIIPEFaH2
cVyPodG8uFxclj4Fnjs3K7SvXdd0dzwHumVIX8aJ8RjjkW92/a7RS2SsyMHQGUu+E7i7LFydLe9B
WZrHQhnFneQpcNKrnEecXSUrnJnpLuTRfR9qSUY6XhPaVRpX7YNVlKT+azFws4qAfkY5S5CsDMWq
cfTmfhomMddqtze8iWhodxNFcI1mQZM6nkXb9iQU6YhcZ3SBbaDUt1+tDoe1kw3BS5Jn9nti211z
lmi+9BoYrY0xgcLuJh0fdOViO2CkG90j6956I0XdLiZrDWya5/gwQB/o7YjLZRq8hHiOWFll3pLJ
MVnSmoGcw2Z5EeNufSPlsrHKB5FL+1gbY7bJUrMBGFSOm6FOPuNSuBdKHuh53pqRXCeiW+VESHSs
CBIUkBpycaWBJ9/lDYnWCcDREgN4fVXZXncORTatNOju/OSnOyB7xOfNrDlSSK6tOyTrrwjJwaGy
QcvTRfdgu2iwRhwCbkzi7t0tCnVDrVp96BuxVn5xVajOfugTFX/oUT9+JcbnQVPGOdaiLh+nMY5u
25LLa0J05UQyYHwziSNni3EWS2olkzXdP9VKbwTlXXVh7Tk+m+NUGCaYV1dtprAAS4/zxHwgNO+Q
VvRZLIVGvEHMdU8GrKrHaJiqc0q0EXeYcp5xktWQnx9UcMi76CY2mmCFLOutgy670TJylB7oR/6Q
OMa5EYBBV2Q6U8fKb92sd66UpG+dkuJqV/KjAfrYhzsXKsI1G5CZ2ZZRqklxJh3qnRc9sxoGKjVp
/corRvuWIlxoWb0XXJeTPY1Q143pPukNhOWCSjarD/R2Iel7exQVSdBmGINNzdtsa0NW3IAQSfdW
HmkHk4X4wYKgvjTSaBXB9wukF69j5eYcera9NOJUO9i+dK8NqpO3WqHfClnjx6EmnCazlBoasWvT
ZNsr65oU10MeDWeSQv1x6sz85IMD3QoDFoycG9OioY03lR5US0LgUKxs2VE+TItK7UFDSqaOD7o2
sZL3AELuzDGAastOdFU7AL66KHmKQidYeknrPXpjdcDQC1ajGNkCh1AJVDS/FR0TykUxudVGtW2e
8szV2O0WfeId86Zxw+XoUmh/JZSRe6vSiUIqZdTYayveYsZnxxvyfVKINNgTZ3DEk1Hb07ajS89f
9vTtrp2us7Z170A7UUN7Av/n7/V+nE69M6iSpKXG2B4HDRpYVOEUohOdxREUCCeS9xF3nffcCOWt
O4jsrpMEdlaF1AHsqCQLCfmkJJ0XaVf1ajdNcBFXbtJZb6By/DNgvYzeOAcVpA/JhZDFiPorkc7P
liClFAV6ITGWoLHafVcFwGMctiQGw0nM85GdT3hohra2ofMR8Z4dEpOzqIzUqRZVkgORgSLXbLJ2
zEE4lLwPdvDio7fSG6jR0hDXVymndUlZqZDXfe77xwFi7Y4yTWZl2uwRGA3R3hjN9K6RTK1jl74A
a7Tjzzrwc2qvu8putryf/LtMj+Id9NaSB6qYqtU4eJQewz8p0k3gShxwNO5Vp6GKshUNF/ZKwdZ8
CIc2d46l9Mq3MHdm2JbsYBllVYYgQh52cgDbF6ZFQkCHHN4tkAEUdcJlsjOVPe5oxdCeTRAtO7pq
4ydle+2zSRz9pi8acYyTaSCZT2uZVJZ80kfgjkml2yvpKVduRY684oyt9Z5IWKRj6fAY5vc8ksLt
DkNV8OZ07OlzEA14A9hsVaWURBL/968Iv4daTDYWv94Tf3rLP96aX0ug86u/L4rZslAyz6bFZi3s
u6yDvy2K7d/8GfmF1RNH5cW3+ccihosCUyVhFQusuEmVF8LlnxcFjPoIXw7kDI+GmX+HT77cBP6C
+GLho+PbZ2Hs4+s0f7opyCZtnVhVm5GKdqyViQvvh15Qv0eVBAOkXJqSF9yB7WAxXEhBMeSVQ26C
D/KL1O4WwmwZL0IXvJYVmuB0hPGaXuhDdu4Nh/7CJArp5mNzg638ayrqkRALIIkIKZ9EOEgjYqHt
Nrd0b1fPwCO/d2AfxTMGKW4C7+gXvn0TQIaJVrGZ0KAXBbnYBTNGKQabai9Va6TQlWa5hL23ONhJ
ZsMjvegpAbbv12QWWeqL3pKjvOg+DXgL6etetR0v2gz4B3Sa4CLZpD2UiTDJVwkut3YdzuKOuOg8
GKr1TZTayZl7VHjjhyx+GVCFeCPM1n+SF8XIyVOuLXFav0ecWR+yiHHv61m3jCgLW1Wz8ETLb3cb
ATuzllyeUKbsWaTSW+mc1Cxc2Sou8yN1fNZNzwP5HF40ruCid2nftK+LDtbOklg3i2PGLJO5F8Us
G93EXNFa1jJFyRpMMGOF9mQkY7efLqqbNQtwZuh4V2jDYh+UsrgvSfPSJJ70O73jZ77uVJmwGJcV
+vFWIHEHy8TI2rvc8/IP4VW1dcbH0X0VZoA3pKL2Xq47gI/Xul334NVIMgWGGZxL3BcnggzaFguz
OTJGDtxqoNVK4k1quEmEytdiiIpoUVVSPlixZ5FgGsPimm4s/YEkEubAmPqE7LOoU/9L7Ej91IC1
Nxel6tyAY1zN7pQmaIw9cYohX7RhR2xQwzgmqamPrI+xKOKHAGrjQ6kNI6sVf1LgsCKId+upjoRa
Jllp3iaAxLoNKA4ZLLw2895TL7PjDUb75LFXJkY7LkjuvZcSgVmIJu0fuJjyNBknhoBVUxpdc4hD
Vz611MVoK+BbqlhqpgqHJaAY/SaRk5tR6zPSE1NMRfrMN4/cMBBtcuEwQkmXWpIinhPgZAO6P+gQ
m3/e0BxCLUoZ+PTKLzdAJkLgLHUZNms6cX0U47r0j0Xt9sly7qmhZCQm+7XGORTdyjgOb/4veWfS
XLeRdun/0nu4MSfQ8XUv7jzwcqZEaYMgKRLzmJh/fT8JyeWhSl+0lh2OWpQdFm1RvEC++Z5znhOO
ccSzQ+rZOxUAqe/5iDbhWoO79q3HkXdgLG3WgQcqAc3asA7eCFmSABwJAz2f3Nsk4cjawpeZzHU9
jzRoYrZIbsxZdhdKToIPcKaUuNl9CtSkyeWTVXa4hNsy6HeRVVbnxqbCfuWJotnlYTmHOABr72yh
STyOI+CrFWQN46kR1XScZjSGtcc34m56dHe54jkov/DhSq67CEFhg0KR15vWIN+5gerWUr052/k6
zP2yX4NedtKHaJjGcl/x7H+ey6gCKDWGB6e2Qxgz3IhH+DIAT0gcz42+jkIHxwSzFJOLTQJ51nVZ
rvvKCZ/xwI82UR+K8PiWq2zYt2OwdsBx58fUxA2xTmjquMbJ2N/+c85Otvk/Pzu/lK/vnI5F+9e6
ApMv+rFbozxAB93ALsygWcDmLP1+Yvrs3DhE8T6zWOPd+4eyqjxDHtoE+EE+eIBL/nJgLlwoBFmb
wgGsQ7+yWjP/XbnA14yson4nKuL6d88QAfKibDOP7Qcfh1XX9NlrmcTOhrBChq7pGNWVp2ZC2GUl
1TTLqChGcJMb6PeYZAQVjn5IW1KsRsthmTJT5u0Wx2bB1qSaBqq/nO5TJayvgd3KWxqwcEritefI
QuvF38YwWwBfuOGVzoRrmVFgbAo1+FZyCl+CpO7FIdJNxtNumZLbTLe+tIHJ7KzoOGgBy0xNwocX
zKRG7WqZult6HI3rnKdfJ16myaM75A0pATRhVvDspo+WWm1fi2Wid9RwX6gx31cDP9tIC+S+ugXo
k98Oh2y5HaDucVNgzGgIT7gaNwi37DLeQHV3ZyNgfDOWu4a53Dui5Q7S9lGObYZrX74VoT2Vj2nq
zVd2H3h0DHCNiXUOa1tdbUSV99t+ue+Mszbva8gU8adeGzOsXOpyxH/CfJXdNGibkk5hFpzLTWpe
blXYTbhhgZIS55qkOuYpOynwfKjrmKsuZkME2p0GU2d+6uvZVTzSDuTOhM8qLqS7h0TImlGGjOJG
C0g+aj3uK1VEdwJcJQK/q9pOIfPSZ3AX6wUGmL53DlzH9EvUGsUJsNN0Gioz3oQtfQGkr5r0MZsL
osNlQ32n51bHLBih3sVNDZ95opg4aT4wNyVsVFjizllppJfQmjFkBaYICfhCvDQOWughFAMDgWp+
1nV7bO76qqitF7NBc+CGYoY5GP85dwgX8xqfGHmyNHe6r4i7ZoVklMfioR91/rqqZtxXleaGZFxy
s9qafHCQRiAe64/ccayjBSeWQ526uX0y+2WMWV3jhqQzUtrbedArATXM6U9uFpVvtN4lDoQMOCgr
uF3uA9gK8yRNCjSykM8CJeeR/dhoQX41TBZynpbl/Sez1/t8gyxvn0sbNKszWPYTOwHvzUW1vsnj
KafV3J2OAfUStyHNZjdDGQ7hDt6cy86iH1/MMOZuFk1mEgIjVce5U8b257hszDe2qwO5BNZTGJma
tTuNTbXJvN7fWUBgn31/yNttBp/7dmy99EmUIEwyKhe2xDjt2zIt1G49sHB8D6oBgvMBn9NSC9FZ
qiICGD9wjUkVR+iqQ0IudRJxnHSshsEWjBjerrLvxRNm3TyHmNy/Ud5AMUWxlFT0qq8iUM0V/HjH
HcZF6iyoq4DU5IGsNdd0bYQfWWFbxSpSPRjzZNTcLG0BEVGbbOggTZtQs6X6M+ZUVWkY5F5vrbF8
tLTUpfaVMr1zZU7OJQgpkFDVeOZdnYSTxRpGlsZmwJX5KXTjaeYM94ynjmVRvObYHJ6ylPX1LvNj
fd5YCf5DOqQhUhO5JG9LRbA8Yqbp5brGFb/KOZpxl+hpL1d2oKWPPSVzcg30VyKZhvqnnDXM5tdP
00v8hoBefrT/9T/fxv/1VlZTEyNZLkLLH393U70XD23z/t5eXqq//8q/fKH8P8s/Dt/LzUv78pe/
2S6n21333kz377LLvv9HfvzK/9d/+OOMfJyq9//9P16+5TGcIdk28Vv7n45PYAc/P3Mfuay+/jfX
Vb74x9lr/IZsRX5UuDZ3Uty7fxy+Bh1Qyi3rmFxX4Tz867rKuQxUgWgIZ7bzI7T447rqcpSraJGr
U1llc2H9JYKDpQqs/+xrYg1K4En5q9Rj69oWQ8OffQMSe0KFY37HLsmkfdLkJWZg7b6Hv+o8EHyW
m3Z06FQm68ozMdh9+zFWsOj1oDX2vMLz+4YF1inDq7ONS5f2l8Jjai/A1O/0fHa/mNaeyowbC371
abJcCv4gXw8ji7nMrd46x/PuEvafPurB1GRrd4j2tlGdhWB1CfrM8LIrLUFOLird3Rio5/e46/sN
iR3e7hQ1PppNbu/zMMG8yzN9jtCd72Oofe8RLRblOg8b/bXlCY9FY+6ZqkFADkZ3gZNmcAOICmDa
vVIFVkZo9w9kg9JLV3fBA0Cz/Hp2nflOyMZW1EN7hwqTpZrO3aAidBN7iYPhtzdWOliY544zX826
RinwROrNu+eXQHP8rj07cqgfHL91yUgL/xBB8eFI81qGbtjcB8dKs8esm4sdo9LGzsFPJnp2YNNq
NJC+ee2x64LNYumYZAHt00wfTdWZSo3yyq+M6Lb3wvHzXJEF8DNLP7HfY8gvBB7sQm+rOy0hIw3a
KX6oJj/YAsEZv9KG7MCI7MIXs3YFfd5u3EIGdGdn00ncDxtTUvgC6dIrv41uBumHd+PXNOvjz6Rx
5ERyHwFzaxOJj1fAacenzHKIZ5pdRkdQp1E5s0aThNM0tFq9dd2uuhpklmyrRI6HzOGiX3O+7Fsj
Me4dLRN7pPvsqQHvDoJzjC2wsWzDnbQTwyWEJPlhUUe66QIW/pFsqzc4xVnckkRhT7ytysTXbxuD
o401BZylDSZY6FApL2I+O3WY5TubI0pCSW6o/sw9vrfGryNqbM1YOI89ouWx08de2xuomhQYtgaQ
37rJuz1bpybcepHVz1dpWIP6Dq0w5QVvuxoGkrTwrsNJ51OfMEJ99NzRXgsn/9CHYcJg4kN3frDn
Pr7rmcDTcyGL4g2oifF5NCF7bNXE6p+oyogefD2GajA3nXHdLD1WOqCUNbsi7cVbeq64bIcB11Nr
2pYsoKDsCiPJt+3SkGXpA76HugCBtSu7Wn7rYZreddaUv8mqpSUi1vLbjsPvK8vh2USomMVbaLf5
pWvCB2TT7qaPhfgsuCdnnFYjIUBKh6cbukO9fJPaEVkW7C8fWd/b1U7YEIxiwQKcgUaW8Y2gnv1b
3Y11daozLblLosqQxIHnSJxp1iVmuBZpQx8nFnh49D1+Gn4o/Sy8Gzvzq25XiATMOtNNMt7KhCaK
PkMb3QSU0X+lHSh6NPx+aHepPzlU82aodiQGZhbd4I4ELsRxrLRTXQub62NjTeFK+Bm7bK11ypvQ
m7oDlp7gSKwa701ZaLX1kTfoLI/IMTMLKhJs4aZM8OBkK8+usuKQZa6/lRAtSNPlGnvkWbZ5t7M1
XUQrAew4OBZ4cRA2qoJgpBhN9hBW7b9QAho0j6Rj5mJT6U7zuYWTcT8aRcZlJm8ZPV3Nit4YW6Vc
QwxF5hdp4QeM3z3RRPBt6d6TVr+bJalfGJJvJb5KIIym/mxF3h1CrppjkDeJ/T23WX9lzdoltFlK
hzaIJpwyFxNe/Goy3GTa0jnlb+Ze9/c+RcHBCu+Odm0LKM29Fee7oR/JA/m1w3ObZcPIM2IFDz5Q
zI2vpfPemYrsXvSSPbdjY2kw6cimVlN288nMNHkKLeLjVpeJ4tgksin2GYj5rVrH7ZPEIHNdzc2F
+Ci1y2VGYBTD9vhchOSadrmkk7ZbNYyXV2lZ2GtPYk/gAzLD9e0T7QbTZn7EiG/yJuexzy51LOvX
sLEIhbuA7z4ynm0PxlnqfJHe8CHoqiPJx2jFT6JF/MPBcEhau70iTtjux2FybnWvnD6NeCrPoHW6
K8nWsaFlJB7knhimM6z5KeecB8GAxYAjPGMJao6HkjAcO56hovQjQGxa90ONvj61WRZuOj0W96GN
2b4KSwjsHtTwZi3aiDaGmIF0IzhiPll4QV7rtqv3ruiI2P/6TPb/6bSl5o6fT1vnMvx5s6L60t+l
AdXfQeyaVQJYKusPaQCgg2kAu0YDoOoDyuUfs5aHhxzPEXMW5nKdmYrR7Y9ZCwOYmrXY6AuDX/ZL
mw4V2/rLrMVuA+2C34KFgVQluv86a9XBTD0Ry/3Jazvn09AN5j6pEO7zkGv8thRJ0OM3meZLxpp5
WBHGmM4mlV4bPXGjU9aL8YiBXnvzsVJw47KSgc9WEh7zZnQ3Zm+Ur7UdOHsmGHgiec1/SZMwuVZ1
qpfVTtcsdvRukTS3zuSWW98nPmtUmsw3scYG3i5nVHgHXwUvA14TWBtd6QnGIqt+LRmmdzkJssdm
zhH47Kbcy0EMzsnPtPrY1Gb/WSZNVNP0MHhnD3UbFFdOjnBjJ0yeWwkK+j72GiBbNFhHrDXjIXPw
JEX2JxJJcL5s00uvNTn34QPUndC+FkXsUDgRpU6w0bCcjDsqnkNi5K6ZnfTUd9ovfmRzxHpmFSYv
uj3p5TqIDE3DRTLi79sXNAvS+RC3FjXcCt4d53r8qiEC4eaeTTXWdumsIXTM+TflGLhBWtVd9jOg
qSlKtlQ1eNdEHoJ00l9b1Wx7Ny488hOrEnefR3p/Sz+UuY5ZSpBpd5oSK8bU36ZWGZ8xwVqPtj/D
GSOgvC9z4RyGRB+OHurhN/YoycGm6frOmC0udbw39Uub9NE29fRDxCSxTzOt13aTFgXNQWSGfslo
XjbWWpBO90D9vWQtMVlUHCBuecl4J1vPqacFEM6msNkR+QnEDvt4RSqVHsAJkmBvcsREeeBhwx3t
/WjWllzjKZnzczRMGtJH2n6BGQjrNFDY00kBUMeFhUrNElzUcWGkktaHl6opdGq9UFR1UmnngCMN
tqqbhoqzGmGcTTOOJorCFYvVtMCyDgrQmrlSx12psK3GQnAlJ8U+JJxy8cHzmD1UfgFbdcwcPrqF
1IotaZ6ChGleubsOICn9KZaHK8bWeu8l0vPhCykMtF8HRORjI22NdZ8u7qC8pxcq5rsLWsF8Dpq2
3xvQsKpLk03pfWvVYDDT1oo/pJX239rQqe7kXJYmRikX4pw05ns+wdbZHxx3h/OIinlDiwhsW81R
KAVvXQc2+kFdJ5uIZtRNlznYjCCK3MSywmDHp3CrD3kGAlUfK0in8fuYZxSRljrOkyrhlqGX1te+
tjTJfC3RrMwGEXOl63P8VMzm8FqUyuDM8dNDZIB236ydAXsV5th6XKeylSdaCDHdMYu4pyCpunML
HcC/azPsMBx7Jj/f2SmusedutaEbubMJC3UHitnetsbwGk0vbZiH9SkBLzJqX5M0ycEU9WM8XGd1
6t8GNs8UfROt/exlIvL3gW8FJyKt/rbGXtiss8xI2geOev8hZIOxSvWufp516c40Fwdje+XZc7Ar
wSm9CwxJ/4DGK8MlzGTaShz++an3AGWj/Q/O2T998fdzj5iBqRuEOxwh6CQC7vj7jsH+jR29QwoK
7CNXR6oc/rVjYMPveQg9rBg43Lj//8k7i+MWFAp0EyEMqI6I779gniVp/NdzT8FLiHRR4s3v0MSt
97dzT2hO5XMl3ZICHJwtMYLigM3wiuKT8XNJWfaZXp/ypRgi7Y0OmuKK73Z6HUBEXnfsSdYNrFiw
bFkqAbymBk+44Z0CzGYHN8qdD5cbAO8CpzZueEmS0hRtcAJI75zDsp+OA+Av3qH99EWjvwEfmGV+
raGsAi3ur8vezNbaItPl3YTwCFT7nPDEfetcXYYsrtH24kXmC8sAyc+pZXDbKB2Qvpm43A6LPCjG
cUjWANO885BLf9hIp9IaLqVKWGwXkdFfBMegdrnVdGVjrwystFhU5tHwrvzvUuUiW9a5Xmv0C+vp
584QZb+PF5Ez5B12GyzSZ8lGtVjrjRFrG5561NFFKMVMkMiNWARUmln6R2+RVRsjEw9Nwn4N1j26
Kw0LSLCM2eIb/k6E2aKQRrfTzNm8mxbpNl1kXMzQY7QrFnnXU0pvawUlnX+l456bRQ8ezLyghSoJ
wC6HdipwOxCxeHc72T7aXr/TeP+tvCFL7jMtZoc7RSLH8y9m/bFXcrTQZrtdl0qkjha92hJGvi2V
iF1zWTjRR6b8usDmpm1T2gANlPQ9DtK/9EoOn5Uw3iqJvFzU8mhRzkEvde+uH0vrEuhN8dF3o7yP
Fr191OIg3fd+1tveqiRBUBe7xnF6/R1HJIxBzYMhtrdxS887Ck1gemwbo07G63muJnElc2kkO3J0
ET07Jp6pde6k1bwFmODSMGnlXnOpraSZ+R5Y+62CmMXsKkzZAGwKA28galM2G+E6itq0PHMKd+Ow
8Wfeo6pal43KOAbyWDadI4/46SA1UwRgzk+ePphwUfr60SnD2oAtmuufJdNF+RIToXcBuwCH3kDk
cu5tU9JeFdUk2s2mnS59rbsrm+auw+BLGlJmLeVIN7PQclYjS+t0VWuIEldJzlZmzNvigl1THCmR
F3sc1tF+oOrnWWJCJCiPif1Zm4L0OQ396magoOCTnwIX3hWZZnagUROX2xTdZ45W4cyiERYPMH6d
EY4Lhq2Sjo+K8uyCNM/KqyNMiKwDNm0QoRBQqxjLNfOMux2ZWkndhFMkN+hXzsZXBuMRhyeer0ja
D3bjGicSltY3kj3zDVt/1hmaX45vFZ/lb02Al5dv2iC+AfI8iHfubMKTbQOrhA5ppwoPbXdEGHlr
kper9fpoidw9Uo3nnHrB4h8lw7X3qR3Ez8gZ6XTyud/2697R5T1USPKLFqByH6NaxB1VZOX7P+Yq
pw6Snx9qt9lL+/7S/Xse5PdTja/+sTnXf3NZhlI8y5WOzbQqKPouW3u/OQ6OHm4bS1LYcRGnfySC
qTJAFeWLoOqRhsUi9q/bnAf7WOD/oniW2yH3xF851GDz/PVQI6jCYp4rAddJSx2ff/d5sQcQMtd2
gqku35nq2WAjE0bWSl0G2HU5fi3OvQOYpmWrXad3ccFUeCrox/jG1auOb9w2gldTEKpgU1XYasx1
ql3VePWHPnXTk5iln29wFU43nY6hZuUtmzkIo97nblnXsbeL1AIvUKu8YNnq9WrBpyV1cduqpV9u
R8VbIgPjrlIrwWbZDhaujjhIYWlnXg8K68n23uyo0LVpP9ehdhZH6ga0nIwZzvkDkzu81lpwB1vN
E4u3o+nQArlyQcA6p6rPETk9xLGN0bAivbYrYJdM27aFQUQ37yMpshd7bO0nGwjzs2fwNuX2p0qf
naUAOsbipG1JQXdPLcanU7mURTtTUIN41QTR5BI8ExzBpVzaWoqmW6v04usgEqSozamw4EMtxdQR
FdXOUlYtluLqILVbe+U0rt2dqWeZ200YSYquJ2pb48dc9V+7vC63eGSbJ+lVknpse6ApOzD8g1zq
s0Oad+pNvdRqs/n6wOlP1WXD4hvPbeV5B8fJkpTZRAL9Q2R32D0X7d7K64owoKkK/mpPq7YZHAX/
Dr0wegC0Lp4C1bwp6ghfcJGQESe9yEtzmh2FTmBdBAbBpL3Tnge57kyrvDFAL95oYBHaDVREKj8H
p6NRgIYJqkAt1Qo64AI6yaUqFKIUL8FINYjqgSe16yGhG8nqbPOqCETlQorHh8SYOtKag6+VD5qf
Nq9Na+QHDD5gBqeGJeVVJ9zgMgdGYq2DHN1yxdFe2LTY2doVHA7OuYEuIwhIfj2o12ZmAIrsh22m
4+BNuzi+CdvU6rgJqPL2MWmhrKBwEE1q/BCzs8Cq+yWFv7u1ewu2HZUx0fuQNfoOAE6wFaaLmwyK
S/cSdjRm1Y0dHoo5CLdpzdJ9LbK8+5LJoIdf7+WasTUzmgkDdjnyqGkNWe+aPBEPY4AWxKeTZfM/
5k2tcNc/f1Nfx+F789P3tPra37duFr252IfU3dn7syHX+o3kHTFq3pIO70jH+tPtwwCxyq8GpLAQ
6f/ET/Sw6sJCVf+z+CsHQ9Av3D5s/W8vai4yoPPRV0Hg8X+Q5v66desnsDwaxVrImOxW2lG/jEGX
pGtH7V5Cr0sOIMXYxzTecLToTDmEM9uasAnG66IFk5yoXU4o/f4211xZbiHS1WDD2Pp07Gdue7UJ
cimXODmKGL/KNFrtp4vfu2nyMdEJTaCujkHo1E3RgYNOl27GuSX7csILWl01S3ujLChyLFrV6egZ
sIZWrOwzsfMSQXbHi13jEixtkM3SDJmZTkeLJ9/0ymmpjszzLtjhRw5gX2MX8isqJkfL436gy6q7
pTdreuMZArFo+1p0Q547fzKWpko7aSm6gz1Kg6W+lFlyFuyw6SB+6aFquyRRlGy9pQNzwG/yYnJ/
6DfxUpJpQ1QttbS9bftMNBvYrRgPofjc9qprE5we4RP4fuMBb7x9ny+1nFiPqOj0iAZVABwS89FL
qJHAk0+p5+yM9Hu2jaB/yjRSytUGVQGqwXFZgBjpOz9k90oh+POVCLXg2C9FotyBvTsbqBuXHLN3
9tpUUTwKeq/Fvz9M7t08sUciuKZqSh1SjQD5EyBAtQi9957K41cq7qIXSVnapR5sS1/TOmQ4+zF0
qc2h1wPqXg9iesNbf4jWaM/0p4ZVKulZV9WqTKz2Pfc8C3MkzatB6SsJAO/pM5RzCRtEtbQ2KaLn
jjcipapiRmjiraSaXREwo5eC3+yBJEXzSVM1sGE00qtDighDpLuYIztsktZimEy+mycXI2VSCf5c
J226clP6kq6Qdidr6wSYUggcmZWkrWZw7+yiy9HWbTd3YUvpeXlo2UMR4mtwtq5dRRiijlF6xTqR
mvw6aPEwbsVQlR0yMArSFR2O5h4fdHoh+6o3+9b302jdGTo/h6EOSuNRGhHfqBkk3bboRbuz6WN9
gWhhXnSCdVuIxi7UXN0OdsQH3St9lPwcOfPDfQBb6Agh2PxkY8V9Cmwnv0lMfhzd0DXe9YBl7mGm
ksHi40IJAklz6k5WJWlGNuN6JPk35Gl+HJLWcU8A2emQ1Uqd23zSjla1Ej16z3pq62nYG/z57BEJ
gMu7s9V+NmMXZx5wrECsjboPT+HEZxSBMh/5l5Zih4m/eGv8Kn/L9BrKcUdWaBP7Hm1HZUm8A2xI
ey0jx6K9NeNBC0VKV7ZjXrMAig5h3roX38njdk3dcpyupJGjE2aztOKNMBP2fW7fFfE6nOfig8oH
HreahUiwH2NtDi/cv+rwthh0autokO65bVXWyaVX48bsR7DFUiR027V+7ULhy/pox9vCeYyroXgb
2dpVaw8ISnMg4I+dKsQGNmxYuYJOMobGeu4zeLOrAajVvEGZNE549axkJcuAVG2ZoqIcvNmTd3U2
2u05JRpUr0q7nXi+TOCyN5aHnQA3mUo58e5hm2/mLYBDamwpvsdCdwteS/iEveoOQSLo8oK3oFfp
F8/JXWfVDaHBNbV09BPUGl2VALfdvHI7K39DCHX7jSyHEFcC61xX34ZWP7JUsVNdYxQJC/gqsCFu
SpOZdu2wINhVJlI7s3X8YGYRqSt8bu+4luJ4xVpXPpptXt+ZXp2jCXjCpLcEjSQ88eGnaHPSe+6f
bpPU2EAxLGeIlYjNbFOdg8GE+dkbA/HVBwbl75o09jPmNf5La6PjJuxwqVznuhMepk71QiEFJMdw
aYsiajQc+6VDSm2qNq0qlvLipHnlj685R6p2Kre6+JqcMF1U/Eknu9lo0m2C23OXGnp/5fWDfsRC
bX0hUJxQjjSMd2xZ6Lny7IwYJqRratEgolpLI1ZR0Gw1RdRk9fjr7jtVnUXKtdZXotGdK7qG8cjr
NCu+OmM2n6Wq3sLz41zlqo4L97r7nKVUdA2qrEvn2uDvAga94spcSr3wu1PwReUoZV/GUvzF+4eX
lYZ1900bVDUY9AlQOa5qDAv5c0aOn6v7dikUiwTdYqWVAD2bQJGpT4s5ZHujB0XZgVEBSqH6yXD0
Y8bMltoygu1UmLlLnVnnoI1vfdVy1tmFHPEdYhwk4NO1exxK4wu8XsrR8EBTlNbrqjTNXwrUfNWl
pi+1au7SsIbd9wvAIWrXYtXA5tkgeg9anpWfE8BzYIFs2tq4oI0fMwN2uA1Vm5u5FLsNVUDJWxKF
8bTmL9FX3EVrscPJyM/pIsTUSpMBl4c8IxapJlCqTboIOFhTGEIWWSdZJB68h90+Qfb554ymjIo/
H03P76+v/40gzNf+vhg3XAZIZS73KTb8w/hu/WZTmIxYSm8Rzjum0z82CNZvpg3kQQnChu6QPPnX
BoHlAnwdQyGb2T94WD1/ZTJddhF/1oOZTAme8dtyBJPav5O9wS84TsgGIKDuG0BC5PLCjmuteOvl
4Dw6Gq4rXKicSp16wesN0wFXGPXed1mt3lTaaJ0ydSzkywnhLqeFMZpGeKHxjAa1UKgTJVKHi1jO
GW85c0aztGNCs0ZzN/ee9Y6dJzyNusYxFakTq84pG6jdxKILmPNMT4eOElfOOExP7bVujD5Vs+On
FJDmHhCWvlbE/JY3szO/1eqsbKO2fAvIJ+/YBUPqhaEbEn/nOzGWo9Zajl2hTmC6VLkEjnQuDytu
1MUVm0uOZBo3xhtvObm7yfaPOAlNzt2gh0KjjvZ4Oea5TXLkU/aXHYGgMQiohFy+GqkluA6WKSHC
zwsLudaYHpgJmocurVvvGqB19DIlWo4vkZGDTmHzk6/GkGSZSGY1nBRO6F75amAxczqBV7yoqc5T
A41NqcGLndntjoRst9XZ0zDiLVOQWSAlryJoE9Eaxo/R7F14Y5dYjU/GMknFXT1dAQM2H1NpxId+
GbX4/civwTKA4Qut2NimafRkLtMZ+yDAjnrk4DI3aI7dT7rB0sO24awTzvHcu7Kp8FkDDCDGT44O
HsBEp0J71eXVfBWrCZGMWfQ8cYSUawn0k66Ypp5eWIqDikpbyYJlMuB7jEuSx11SPZ4K+Gik5re1
Cv3ES/5H/54FWnJB45IRGlVcqFuSQ+aSIgLKTqIosKgLooWm/DJIlTjyl/QRSUUX0VqFkojpGk/k
fkkq2Sq0JFR8qRPKteWrUBOMBfJNLW76M1DxnrJHlX8SKgqVNIjfq1gFpCaAMh+WCk1RcJMAkFJJ
qt4wR+5ZS8LKUGGrKeZnA7+cCBbYEetgVxOnd2ER0rVL82vYowvVrEO+jEorCrV8OgqlH2H1Dk64
JpgulLrEmY3QNEGc/vCV+iSVDkXYVH/kOEN6YQz0V104khRX2hXri+lVNE5+lVRT8FbXXvFSKbWr
VLqXW+HZUkrYGIy9sx3VCpkJS7shbM9eeV52zINaNys1vF8nyxY6bWTybKvVdLdsqTO1sJ7L3j1O
rm3UR6xugbmZrUbpLBWKs2ZVbLzhzmRs7pBhdiEIQo9An9qQ12pZHgaszV0UAnOLg2vGisdanX2Z
cTIq237wY4ete6AW8AbeKeKWjEl0k6gNvaBTkbBGlkgIrGqH37hUqrPRSvnzY+JLlm1/vGz+g0UF
0OeI09knPdCtdCbUm1FJBuWiHgSLkjAqUSFT8kI4IzTkhsiedQrZIRUqIQJ3aLSfpknsKyf2jqh5
xcWihu0A8gYVY1oUDWtRN/RF6RhwxBRESEh9D0oKMaU1XfJZoI9YSirxyty9Dxb9hLRn4pInUroK
LVD6Z3dRW5ooqR99JcHUixozLMrMmIb47AwI/nSsirQLv1ZU18+XMXHylvooLSwPXSi6TWfXOQgw
KIHxW9IYMt7kY2jZ37qx7bJTmPZTeis0Rp9107m8LOlvYv4JaJIjnzKNszhktVa7u1qfUz61yUwH
HS5tvT87EVSitcTKGe9DMiDEhuLYGZ+8PikQPhyH6OsqIvrzdTSD1rkrSPGe5iCqT2Og8T4S7pzA
a6Taq9hJo/gcIGgyUy/zdZkS69zidBD6NgUhyxDua4bzBi8neWWJMq0VTOu67slbrLpleEf5N07t
MtKLZbyvC6PBs7KM/V3o84HIZOj5lMJwM0iWS0K6XBgqELAOQX3uEXHtuPSrk1FdYdM1khtDwuNf
WZkHaMzrR8DwvW+2Z5mN8q4Ec+MdmuW6UtQz1aK5usX0y4WmWy43urrnVJVTJBBkEmvYJMtVqLfC
8h9kvkM/+fmwdf0iCTsMPw87KAr493mL3AJRBhZ+gp0bM42KNHyXbNzfiN67Jj1LggjiElv4XbLx
8eZxzwRLjomB85SAxA//HU17YL083Asetj1DFVn+wibQUILRn+ctJdmoEIZlmbRdk6H4W9YhZh3E
TGVvWcHINe3u1mtnJMXT4MTNbdVJ/4rnnWcPCm1urXoNd+l6KuWIH5aRw9xWTlKMe41g+zFNyWrt
gFdEIPZsww2IZA/tZB7rsMHgittc6CcANOFz17jFUVSSfL0nc5fjbQAofuz9VvhnKIX4lrPFw1wI
gZ/Zsni+ZFdrXN6U47kLZ+/r3MNkxn9d4R1YzNH5YpTmToeYrHLpdCsQEPNAgghw2dqy/LbUHrwt
6Xlh8yk6YwtSuvvC6m3U17PPPrRRm/RI7dQLhIcXFC4W7YHauVMKo++gh4XvzrKSz9R2vifL+MWv
RutL0yi0YuS11/zrnQxyl9rso2mz5dd5v9/kavWvxcawba3euDacTl4PppNtLa80932o5hsUsjO0
8kCw6IzDS+mzOtwEMYSSVa5V/IoO9XYdYn/eOlE2XNttVQjIO0ZSn0WECx+LnxFdZ9bcvELORb6I
imEaeHdw4JeLwGErrWNUqoc7GuypTD+iqiMFcBKAIVHNfloxeV9DvWweI72vcyAfXp9tvTxLjH3j
aGF0JWu/+4D0RgsKecowpbpCDuFmLGEE7HTbzLpDNXV1ssN7ZrE9K4VdfTYQH8oNTFzX35AdIbbV
jd2AkGNpKxzxHSybgOM5X7W1Nul3LpUo8VkAQ++pP6EsmdiB0Tuv1RiG8ZMGG26oVzScdlReB6pa
whJ2dx0MmPCgneVJfaLbF7+is3gXDbbxNyRv8m9kLCaNdLnyOTYiwfMYKfujPfNOp8zDxNC5+CNT
0TXGvoPKwIc59ahjXstOxMlLlCLVbebFaTmaSTNBCvPTHmEm9O/4RCfedW922nArWj8W56Cte+NB
64Uvd5XhJ8//nNss18ufv2DPL/+Jj/hDD1c3099frhYsw6UIlLcXbiqEju8vV0GM21EFdrxZXaWZ
IHH8rof/X/LOZDluJNu2v1L25pABcLSDd80KgegY7FtRExg7oe97fP1dCJIqSimppMscyCw5KauU
FMFAAO5+ztl7bTKsZG0ugXXUX8/r7svqSjU7SxFhbbMq8mewuH9jdVVncfXb1VXQglPQmGFgQodG
mCpr/1snWSWpsdzpYp1HUz24gt8zo7Pamx+B+eQ7D7BzteUOKz4aCUYJ1/c9nAhmqdwFEAhrRwll
+XNjTUa1Hqd6V5rJ0CDSicrjyBRNvSG1wGay2Bj+gkTy5GaoaaptCVgZAgxd1RUNdS8BrJqGN74v
hdEFHR8GfwDFiOttu5rAUSWX1gmNx4ngUHB9DTiLTSPqMHZBi6EnsmGOzMA7Hl4Nct7arkcGqxrP
1ZFphkXCtJdQ3sTnA1FM1sOxEoTwTlr4Ugl07QMVDqTnSEPXnpqa2YULnqi0IzU7F8c1NvczOR4T
N9AL7c4vIuNzENXlU4zZpkGma2lndSLjTJYUyF9DrUrMkhTJOKshjSmrTNOzTamDQXESNhri6wft
EZC0AmcqLHlbOvzxVctwlpN1Vg6HhGUROR8hZVK4cR50KzFu7AaKiqNz7j3MEWl2Dmd7eYGZ3Qgc
uWHQ0oXjp6TDyr3r8EGMrinH3pkwPViU7aSTBRtp3Y0BRvI2STzoYFGsuNSnxeckqkqHlnGG3i6J
TiaaFSeW76Wnaux7mwlqmlO29J3LoCOeVKLjcMKgxoBh1qRnU1zqm9KMuxOY3XzriBnqO5vZEIGr
aRhfYbCKbwy/Hq5sdsL1pNX6o4ib/rjLfH2l4bXRyFpt/CdvJOXVbQdfvUr0pPAc5jBCWxc8Mlc4
kK0rcjmGj03hRYe1T04ZpjeltUl69pg9ZWTJL/0+6XZGGxMjmkdJe2CbJaO7xIKYp86RGHrpRZvC
JyYDXTiJGcM+PUOFnXzTZLG1CKxRnDGJse9jTiPaKisy9RMpf/Gj2obSPc1g87PFQGUzoGFaUtIn
KyvtlJsithTayMR6pKCMj/s56qPXB9h2c/wHSWz+UbPPBIGez4WXQmEt9ZqonUUdEiCC6g89BpY1
5Yz5YkwrZQ4bqRtiR/x9AomkEkZicD66xt2G2oGZ6MICmf7Ujoig8TFGp71BGpc1h5uYSmOdd0Ut
rjS/qSIiupTFbB/dod4u7gTIxJNQIqYFJENDHaXtU1RQkdI6zSxv2UlnVNjN8ehLdKjn7JWO2eNJ
MOexqIAbtqWp9A8tp8Qt0oH4qIaasrIL2e4WRpSYxxHbO5ZrAZKs7srjqZnjkeS6lf1lBkz1Lk/H
aAN1i52ogBQsO90gxuugCfBnel3meiDRbixd6T/jRrJvVJnTXMm3sRWtmUyLoWCUsiwlw8A8KKbw
VEmi4ESVpeoIzrO2aqIChx9E/3hriKa9iUo2vkDu5W6dD63v9kacHI2tVZyallyu2tyOLyF9pbcZ
kZqhk4dJdtFbcVjsvGQw00UuReZFZyHqhBdjmBufxECnK3xOe4nfKNeBmRMQmfEkAcfwCfA1unWf
x8lSKomzq5tQlbYG0Rga6rNxRi9zWY8V2lv1oi/KvMe9oCTXIVDIaUOtnf5z6po5j/7H2y6Gi/un
H+ob5n/7vO/CH2ZDm9kkLNoGUBR21+d9lx1UM2GJ2aqJr+c5WOl130XfgHSaupVGsqXqlEgv267N
rqvxXy0UpMgilN/Toakza/nttosrxeJMwLiKN6LSmN1Qb7fdiCNrXHXSxoyEiYqpzAEKDslOVQYI
YF2SskaldED6WJLdWrSPysCdlqlmduwpqdiao9BWHUHfCbPbsVpDL9VvikA0xxlL81Zo/F+zNrt1
rMBvRRqGjjgDzQG4t4l3DSO1bYUhs3RMtSuuJ/AvbOVKzbhRkZpjxjz9ivNnj580ieR1kcMkraFi
rCebf1kXOmxBzQ7oa7O/LZuukIkNtMt7gIYtaPQE+G7c56ewM+6TALppm4BchP+hdJtgxu2NM3gv
YRDk4nhtyMDjl5RI1tlNM6APD57pxP08aR+lu1pKrVUmt+2y7PO5c+ovu1zKSGaKEX/NZvJlEGXk
v5Ij4+qZfdBpICO6NlsgwcK5PbMBE72/9LTpYqStp3hYRTKfmGnLksalGdshDhCrWGCaKXcwwa6R
x8i8dTA4UhXKbt+h4UvboFnopEgvLb+0163ox00qumgjof1YpJOHx2XqdNYGLwSkNErAGDUszFp0
OvaaBHQtOoik+GSSyK4NmgML0JMb9ixmihr0GFXzDhSiN8TXuV0Ud6Fs+dAnFRwcdlEHxzL5t/RC
7NS61G0InfBM6FERfYl6caZE5AOM9EklNlMSOcwKT6hPiVfXO7zdMWipxsZc044PKkeVJUm8JWuO
LFI4E0XgCGA1p2OdPeB8JlkcaclCjga65jXAitpq7WVYo0EZy87e+syE17U/6XR5K8jwzrinSM2s
C0ZxyQXefc4qoSqCnaRJCcayEPioH8l8U5nQZ6/0uVRV2aUgDOUgm/kZgwCH7KqjQYLh2KvXI5Xe
ccbUenSqPXYDkbJ6Ju1hHAmb4RHEbn+HTOliSEhPaZL0AKZMcmhqqPH6BrZJ6EO2bzmTkvfbNesk
6lBQh6zDTqta0maKJqtZSABlbzGEtarTdGZ8Ndm9wq6u9hCMMzVYqTQFtk3iNZuKi78oUatdJJPV
Hsttr53PXqB1YYzFJjNzWt6aEWiPQwVab6HQpt00fdtubA0Kkmq29XkOsezAGMGqZrYcnSVZwAOX
+mWPdyzyZnu6fewBW9mGyTiu2zCWl3riTatEashhLKtq2XcauqIYP1iaqo8YIot6PRQKk3VCsvEw
t5zkxgl44M7WORIGHR+Nc07e38Fdbh8zWzx2dUydzmTcPuyjsF4JLcKvi94lP4VJB9g/zLPsMsyi
hpytwYO/1HgtzrlWS+96u4i2sZBIhvHxkelOaNN6HhIfCzqNXJKcjFKn/S/KrVfnHGHRNSw7QnB3
+mQT+9ZK/knjDea6EsRLVnWguYbOnMtpozG7lHE+bFUmaZWjDWOwrDUvgcQu0o4ZOJzreWp7NpKH
e521en2QKwx9IIgG1VUb68M9YS9McznPFG5DuaMs5FJHJiQQ9TgyABjWPm8gf7QIKKLXUWhj/61w
69dtURxmWRHu0B0HFwKhwTlh2CThYWwm9Q2SHMFniX48zr5/DbsLQfP6cF5aKAuAGAsrdP8x1bL2
03bkMmv9H8vH53/7vG2bM3cFtBlFMb0++J5fTFFzL1IxqHiBS0I/IQPkS7lsMuDFoMRNilVYMefs
5td9W/9AkxK7FNNfstpVQ/m9cnl+k6/27WczMLkGlgGvVNNm2eKbWOeMOSTpd5VbMmNdwbJWj7NA
mU4tARiUiZi09XUdo17HHPYsH6LwoCfrA21g2B1KpLQsh04djjIEXFCDB0S7bMC2cWgQVXvla6zh
ZkRKeR2kyAEnX1O2neIjiRCx8G4Ye1M1lpKWOPTb/Us1Vemuwxi3dXLSombHfj6b8rVGnEu6YTAD
Qx+VQ5I8HyuFHQAm8l2TGMSsNHP0SxARU7xC9FbZTi2K6BwjGDNq3S8X/mAai64BeNACVuThpmXq
WkxMt6OnPeVERh10jRKet21prMsk83gkh3zpV2F0DikN4gsQ7guQSRlowVR+8BPRM/WR+zPbU0N8
UqnvXUgRYyImO7Z5ZfWGdVmIWN5acqM/BbhF15kh2Dz0ypnwRNvsNrVY+gosSMfHsLuWUjE+lpNi
XfaYQJCL2PUGCSPsy94bt7VthR85PImjbJTMa4DW+UlryiRBd6BRjiy0JCujrMQqFITdlFZQLnLI
UcwZJuUK4Ka+Y7qYrQYzxGxNVMmyTLTyFC4Fg4vSrtlwcGGnqiltPL8PwJMAEkD0qAebbKwa1/KM
dJXNVm4lVqMluul649ELcpUBnc0UFUTSyqPqSKXPZWfqSuIfZvA25AU7CPAnus7HmaxA2k6yjRO2
UxoXNxyboxQEDzmK/XXjo/gUcajfKWKsr0LLAAlvpOJ67uccmDrsu9Rvu63uxVnsdBaHp54wGyet
8+owYIVcqXbsuX3feyTF2MnHIolU9HFtjrkr1KmQBn1lUPKjTqz01dTFNdOkkPPC2DF6tgghcIRd
Jxu0axTyJBeleNQeoiLLLwIJQQJBBll9YuYBItAps2f2hqg47+hduyijInfrptQ+qoB1r7Q6UDaU
xFhTYwM0fhTmHEvGkQyHMPQvijgeIPLI5aLWgYu3Xtu40DXqQ4SnYjXYvr+tI0PeEQY2HFqz+p8x
Za6Sw6MZl6irspXU1tNTY5XyI+YMvi5JOYPc3wbO1AU2qaJGvDQzGX6JERaLwKwAAVfkVjt03DFq
T/Fw4KPKOMuUrrunupZdy06laEc3lfROUIWrf842wNr74+qNLPPmxxKgeYj0vA0QEcixBRsCETF0
JfeAq+fqbcZFC4u1Hq8XayPMvi/bABJ0herNxtxDk57dg17nl5kUkiGgkGwNPDo606Tf6Zoq33ZN
mYjNQiT2KZn0LhW50dfbQN0jdtToQRE5hIM+JiSLYzBJtQrMgqWHh5gmKiKHK1mdhTb4U8nvTot6
G/hy/zFsUnEsskQ5k8tCvbf87qmPJHi8njrK9Am94vOIrmKVMzVx63IKXEPEV6jYq4ThvXZkwzFG
gao8jap81iHvP8T72N4Zra5QGpXjR3NKZMttbOtT3HqEQ7ezRz7oCm0TB5O0tvtIHCIRkpeyMRLm
MSpBAAmx79ZWUAwLr5W9jxlyBY746NzwqNgpIuy0DZlg48jXWDCmwC8PzaI/qeIWw81UxUeG1R0Z
QCa6WnnEnDTjWAZtQ65XuZULdAjkSJWOwDW1LEAeLdCslDjXy+Q6Qh17PBqhdAgzMcNtmMF2qMJY
X2iZhFZwNKStrnSPCWrmFcykUieDuzCOGrPJViA4Rbv1tCY8wC5QuOxed3UYtkv67sVVVR1GdnDu
pa229cBf3UIvqz9lg2VidyJNu2FpX9A5Ns9YapurtDWIOWmy/nJQERQs0j6Oj6ATYYQsfQZPgLBY
s1U520FmCrddWHW3SkNpBE1KW8aYj2OHw3IFolNqjhS/qHSX6ERlmSmJTPWL/gWhz7hgyHcgcrNY
y23xib9kE8xQtfTW1WyZN2N6nNdVfesh+XBBmjVObdTSwdCgCMitOnaAkcDFKiQsBh1qlY1sSnzb
fqG6VqWYR3BsGsIgkHrCF+giMStvQFFzgBdOX1IVlBM27iCxlLMkUAymUSIqNnEVKG6CsOM6Dobp
NJvyCeixlZ9SLGagfSgvcPciQoml1DyJYu2jmBqsYECD8XCF5rFBwJBTFVV4xZwz2w2pNJ0OUbXw
/YI9D/xyejBMCE5LIxjXkqydsFEYd/+cdfOn0snlfZ6NP1k4v2gnrQ+aDhtYZq4EBsAEEPza9iKq
VWCt5IQs79tYLI4vXS+Dxfab3tbruqmTdwgsmNdSFJMplv57x+fZH/TN8RmnByd0Yu8UmcP4N9Mm
w2xGDhiVS//iM2tov6gI9bsO1EBeAewKroMw6heZJYJDHGQPUh5eGZVxxHOxSclBFcyScVyCAdOT
m1GU+Plod7Wom2jeQprNNsDOh5M0o8wM0FtKQYMIOrD6pYo/f8GE/ROTckxthnJD/JDvpn4xuNVk
HfWQ35ZkagSHCDBJuyNW2IlIl8Lz5t9o5C+5rDjaZhJJ56YyqsSQ+OyVDqsucziAl+uimS0ho/JQ
psnV7E1ejQNZ4LoXsJbhiDkm7a49BpZD4hMR566aladpLbf6IhIkApljJJYKKToYEhixk6WOfUZW
AJeO/CZotuHRW+rgtqZWUlwkeOvq8c5Dzu8Goz64fVKEq04OlYukQZOEuYdzebtvBnh4LDTipT1T
TGt8DDNlDtW41xbTg94V0b2R6IQK6olmYe+w9U9lmg+czSTJBfumg3m3TSi/fQbhXO/OmHVS2ejV
6ExGnp0XyLlpQeXKGj+A22jqxzK0zxjLsylkj41ZaOgw49PUkiDtjBy9oLSWjhRC2SrjWnYUKGAG
n6kOxH1csftMQqtdKi9eLBESieaxjz8yFAs9qogvyxL0VZkskcsIhlhi7xOhrCzy1jaPyGO6J0D3
PkAQ7yiVuvVkonGQpOr8Y1iJKBaqRTExJsgNYm8yIuerPh6wkuOPjMo6cPQCbWxoRjJKS/OgCgpY
s9mYkiEb6k7USdHKKKwnI1auoyS9mCb9CWCwsiJDnL1ygNlrhUg+6FMcevJosdtBfbLMbcvQqzKN
bsm54lOndB8Ltbd3aDPBQTFKczx0t1OnQhMyynajV0VxPTT+iYlsdeEJcd9rwa3eiFtJpOcp9Fng
vFjZY01rN2BgCqxICkY1s/+os0NOORafMScOpklHFJuq/jE3axmNrO05Psw6rpq1avTmfiJmlSJA
tRjDJfIu5K7dFW0XPuaaUFaiVxgBdjTFOmRw4GwLCYZ9lZMJxUmA/F9vNRmtRTsqjc7ox9jnvZnW
qzLhT8NsHG6NyFAdVdeVBew+wfDEC9oDNTW80bU61TqstFxaGbzVuEDeBomDXxwgnUbbC9BBfOrp
HB1AHVhOEvbq8bSvYYu5nJ3IbFh4c4lbzsWuta97k7kEbvfVsLKvjDko+ICcGuplHngDfF7h3URt
jwtpnEvral9lExLRO+gtxZrxeHVF7t4MQzCxtUTw1CMHAdxwVAnhL+tIbw81c5g22JrDA0rf6EzS
5moffr+0ZS22nXRuBtik7hyPKfQhey4NmrlIwP1EvUCakOzSvYIml6hEco3Daa5W0Y5T60iYE8/H
xg/DYWlNYXicZtbE3q43S32IPldlD9s6LgLSP3wkKR7nori/YI3oLyzswptS9rRrTqX6Tuf4sWm1
tnZTTYtJH0iGg7zxg49R22jX6Kcf/jm7Lrvgj6sV5ylrfzJr4t++ajywuOClVSlWhGCL/WrTRVBH
1whxHS5Wiw3vZdelWsGqQD9rbk9Zz3C7l2rF+EBjidvNQnLEA0K18zvVijor+77edckxpjGu2Rra
JkOd66K3TSvUnnGlpTJ2oTZf1l0UHVFWF80iJahtl3JntA6aqE+ikTLfZXhq5UvJFyRc2tht6oU5
Qy9rhgTlgjZSWhwG8NfOGz+rbwYgfJmbZIVfX5oU53dyhmdyYdoSeE0hD5G3BQVpgRcWY9au+j2O
ExMtaE7iuuTuoHgGd0p7ime6J3pme7onc/xcfBZD30L/YcdaMqNvNw3OJX2HK5B6XQK8ifMfiV63
V+vNur1gL+EbNfhyrOher1I5zDI/7Vnzl+wFgH6FFhC/VDKsa6kL1KVQIjxcfq7hfhW9MXZHzKaQ
+FGYTtGC0KoB4yJaD3nR0UFPPll74VS/F1HxdCOoyojGytdl16FISJMk2fi+TAKj1+/5d3sWHmpu
uHiKlNaA4iUtvoASMeMFaKuIRRRDtsdmD0rHjcdAuw6JPVyUdaEmH/tM7hO3tOlRIYkHL2Mhlz0n
U00xlngcZfQee25fBNl3CZKNYVxdAvZDr1xuU7po/txOM+fG2mjRUl+S6UPjLbL0WCwtSQcsE4GB
gGwmBeFFQ8jNZ9FVwBUS5HW9IzyD5F90w3z7sPrOQinOuqXdiEmcdHWtb+hCWo49L9bKvGyr8wJu
IL2oXIRMLO5CAYcX5759mA6aNLqIzqNwNWY+bKeG4Dm3rZP4vE7S4bqtJfkcW0R036he+Jg1tS0T
vJpr13lYm8LVuWVWIUkKwFu86AAl67ggOLNaQSM27m0absQI4nZZ+Koyei7VbBmhgYiDNRXpGRP4
fOO3pFnHgX+lcyzb2AqxzoOSJksiLv3zoFS8z4pdCnA6yk1fNg+xXNLhUiomD30aLPLGKJb9XE9F
up5v5brSVrncKNsoD+6QNhIHD9d+M1XqMSOp9NTWotHtrfHBjozkYn5bOzYfCl85iguwtRENhlVV
tOGhlAaPXqXvj49QeOJtRS3tWuG0riBFA0xKcvtM7yMScqJm8nfJpI6cOodp+IRui9jl2kvTpTyV
KqZuy9tGxtjfdPMvaqTR5Pie2Zzgh4sYNQHzzmrryGSUUTndLB/F772xR6uDONtKa00dVcUxk7K6
iTSF5p0R1N0Cj0W7CA1fdiNLG5APSVzGJLhKi0hyRanwRNtTHJ8R3yc5g56x0Ew+wk50lwvfZkRJ
w9Y/TAjCXsTWUJ+0QXVDngZHsEIdOQt2Iew+w5I+2n4PmF7Vj0RvjyvgsMOCpm9+7ZtFspLKGC/E
6BWLf8wWpjOC+PEW9u/HO4ZzP1aBz//6RTBBKjORMXBxVLTbRDe/Fo4oKYSGVgJBNzUgxDn+yate
Qv5AkMx+XGMxlqFGfNNxw22HRFy3YNHTJvs9nSKb6Dd7GIxYdBdUsOTLIkqSv+m4YX6vijEVazFF
pNBKwYi2uS7lAxEN1oWlmP1GmqaJ4b+l7eD3ek8VaaDHWasUZ2Vb4BTWmwaPezp0H3O973Z5ok/k
opJMSXppaKzGztQWNLmKi0S3u2Vj1DEdGyVhGFl1puvrZXpJE5kWWlZKn7yKjCdX9vq5YSe3Nikr
mpyu4mzUNyOLyEnlm96B34zJyaQEvbwerE7/BI1VPm/lQTLJxgwT8dmbkhTVl5lUa+g5ZOyWtTQc
KJGunk+NT+GXAqszSmzQHCC1YVsrpJP5duhvGQzzhBEat5vgW8g0sTr13paL6mlEYPwRnbZ1xcOM
ozsjEjdd1l5vuSZhW8cquQDhkgrIQtIR1ofW1MQHaT9S0WXC7D9r1Ii7hiKoIDbN8p/Aa/tPSJZo
jVVE4jxgl93m8hB+nuxweMS/TDkYRNpm1Eh81pNW3FP/sGEEfkBW3gCUdaWObDloOHQfcLgFJR2J
w4Hlj+0iz4VyrMVpdVSNprpRbF+5kPH2DZQQpuq5DBnqpYwF8BbhB5HDE3Q7YnsSLT22W8m7arop
Oid4YelVfV8uVMs0t7QTS/qAUhqTUMzkyDSkGFq2UfLuRtVv2ak07OeWf6jW3CSuqeUxFPBGGxCJ
SgX6zS4q1qGV+NdlX8THtRDBxZjU/bKiT01lWefl0h5SJiGtYUo3cSZJHTE93W1r1vajTt19q4Yh
mSCUmPQvSw34b2Em6lqL9ehgKqDTOQFhuZSU1DSOBjX2UpOrcEZjx9IOmYV+JtmtKNClTJwKKjgZ
LqCO6tbGUcNOZVcZqk1h3lLzZW4sJd2tZXsSJ4pQyt3caqdPdlIpDhB9+6LITZ3Gn0UhQzswu1Qt
O5Edy6vai4QAzHA7mlJ3Cxs9v1UmPTxMNDM/spkHdg7hdyUsBXW4tuvC2Bh62R82MP4JCx/J1sP+
2H/q84wkBpzUh4av9QdGJvpDNBXScsi7Q/SG7a4shmaDKh46fZyUNUTYjI+jFPFaQLJ9NCJ08sIY
7rKxICtHMY+JorBPEMpKljN6cx45jET/TpLC8nGgES7SoJoc4IvRgHSlAzbIRDZvV8OcdV4CtQfD
gN5yO497XGZ5ZbbhdFVrp7kvU+uac3K6Aa8pPwy7StqUtleu8MITsm7tA9e9OXtdxkjROin+tOmo
38ezK0FbXXQAWuOTBnUAngBYFGfqPtZdTrv6SFKG4tJsgF/g7gANr9Xob5s5FX4qldMGewjLFonx
FUZ0wuMZdg+utw+VH5Ueo0M7jbG36FoJ3yDHBhNie9eLRU/S3yrVuoFE3zz3CamA2XSsKrNYC5Kh
covPAACTKMzGOhtmFZZu8gVXM2nLRTE0JxDOIi5lr+fCK9avkFs2eBb0dFZ9TZNFgrNqNRHQFTLq
80MlIFOkHchUAphe1usJQccu3AciTEiECjclJmG2d96HOOA/Y+EjRIGEGwIVYFcSMAV9YVpG+8gF
cx+/AOmHKIaC5ZVG2RzQILdzWEMLW0daV0zwt4LlV7+UssaHXSIaQBT7wActiwh/mPDHsLiapIAg
CY0IiGigTrML9KAiqGoiUz4dxnlZzYhi4MzKcTZ/oFbwd9qcPpFGNcfhwAoVDuq6dJzOORXlPrJC
81nDHQiRyjkzfAJMrFI/6jBHLsNKI8t2DsHg1TBxePZoBgtln5MR7zMz4BYPV9Eo67cipOipPb8I
lg1jhpGuP4EbWmUpn4DveKtkjuNQnpM5qt4iOQ8zyFLfZ3dgfqM3Jc+RHsCKdRcN2PBJyYW3FHP0
hzeHgKQycSDaPhmkIp6QcHW52nVkrbrtHCHy55yF5uCgH8X/kCP0nz89zcOsucyX3wYI/dJf+vkL
fZUn9JC3WTOnE/mImzgK/SeOz/y2Ib//lfZZRj97BUCJYdM+ElWErU7mzESXiP+Zf3jBJM/8lz9G
6cKPSYn//KfzIJNz3Jsr9KNr8POPd/5UfxO09NfX+eoD/LdIpVnj8tUB8wcX4pvX+c+FsD4we1XU
eVz68vPNhSA9UjNMle7n/oej3R95IfRvhcm/eyE0Tssy42sDHsX+hyv71R1BlgEcZjo/zz80i/6s
C0FhwGTp+fv55ln964Pxw/vB+KBi3SDowXr5nLzgm8uA0AuBNZcCu9T+5497MOjMAcamQnnXY4EO
nWpKF+oca/3m85sI1zG7cg5/uTzPb/QHLgzvvRH0D5SFswPtzQ3/5kIYHxgQIo7nr/yhNwISFazT
2jxkfdetYLBVmDz32usSSB395kIgYmR1nC3YLxfieUX+8+6IuWp/14XgjuDR0nRsGc8/Xy8N5gek
n0h//rjPb2LHRHT0zk9vsTDqWEtmA/6brx8gp8FkmHHA/vX/oK+dhVDlCPPuj4331bTmHPTnn6/v
fu2DwdyEmOE3u+aftS2+LAOCltm77n5SIrH70mZDw/b88+19YJosAYQ+P//8cecDHgPT/AtJ/HeP
SRwACMSY51//+ZxfPQ6aYF5Gn/JlNXwWnv9Bj8Xr/fDe9YDlDn8YCpwvJ+ev7gf9A4pv3G3264Px
fP/9eReC3u/7HgxEn5wD6M68fONzrfTmjiBJBbv8TIj//TviF67Wl5pzAe36cV+Shk/1m1Tb//oX
Xiu2v77ANxXnV3/xksTb55d+Lkvn//8/X52q99Ximz98rR737/Pyz18+4F/f+qv3ev1Ur/9xEz5V
d9VDQMog9ez48mse36UUtifjd+JtvuyA//l1/pLW+2Vx/Omr+232r4uGvIG35fiXleW9L7/rweJ8
7/VfdrJ3v/7dY5t9/w2ea4b3vsGC8Ob6X+dh9z3M9yzVo8J8vXLzLfB/+xYcVPHf/ZYJcJjNrO/9
FP/O7tL7730RX0rM977Dp7v083e/6pfVmXikd3+K2/z+q7v09aVZnt776/9KVPX+0fy/f8e/klT1
zrfY36b1Xx+31wvFxvDeC/VL0STv/Bgn9ffWpNcPQdHz3g9xkj1+52l7eQPxNzxvvxAL8M5r9GvA
sXe+yeGdn//4dpoP4O/9Jv57aOk7P8IvUHDf+w53pPh9bw96vZ/+hv3hv9OP3vkhDkL/Z7oFQe3z
3q96m/7kmfsbHupfQFW88yKtnh45piX/WtyRhsr/Xj5VVdjk1fh6cbaP////vXzrcxv/vVfsF1y8
7/xEv2AQe+87/GSlnRt5775Gv2DVeOdHcJ+S5jtHzNcv+m94vH9B+frOz+DcjU9J/ZNP8Tc84M5d
+xD8xDXzNzzj/44RV20JUv7hGWeeGr33nvolFdc7v5B/34c//jZmEs7PP8T3yswv08y/Fp+vU8rv
/bOvK+v5bzwkT3fV//wvAAAA//8=</cx:binary>
              </cx:geoCache>
            </cx:geography>
          </cx:layoutPr>
          <cx:valueColors>
            <cx:minColor>
              <a:schemeClr val="bg1">
                <a:lumMod val="65000"/>
              </a:schemeClr>
            </cx:minColor>
            <cx:maxColor>
              <a:schemeClr val="bg1">
                <a:lumMod val="8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hyperlink" Target="#Dashboard!A1"/><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hyperlink" Target="#Analysis!A1"/><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car45_data'!A1"/><Relationship Id="rId15" Type="http://schemas.openxmlformats.org/officeDocument/2006/relationships/chart" Target="../charts/chart1.xml"/><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6</xdr:col>
      <xdr:colOff>80960</xdr:colOff>
      <xdr:row>0</xdr:row>
      <xdr:rowOff>190499</xdr:rowOff>
    </xdr:from>
    <xdr:to>
      <xdr:col>23</xdr:col>
      <xdr:colOff>225137</xdr:colOff>
      <xdr:row>31</xdr:row>
      <xdr:rowOff>34636</xdr:rowOff>
    </xdr:to>
    <xdr:sp macro="" textlink="">
      <xdr:nvSpPr>
        <xdr:cNvPr id="32" name="Rectangle: Rounded Corners 31">
          <a:extLst>
            <a:ext uri="{FF2B5EF4-FFF2-40B4-BE49-F238E27FC236}">
              <a16:creationId xmlns:a16="http://schemas.microsoft.com/office/drawing/2014/main" id="{87D52C0A-3C20-076C-82BF-3E4DB28116A4}"/>
            </a:ext>
          </a:extLst>
        </xdr:cNvPr>
        <xdr:cNvSpPr/>
      </xdr:nvSpPr>
      <xdr:spPr>
        <a:xfrm>
          <a:off x="3717778" y="190499"/>
          <a:ext cx="10448495" cy="5749637"/>
        </a:xfrm>
        <a:prstGeom prst="roundRect">
          <a:avLst>
            <a:gd name="adj" fmla="val 602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11906</xdr:colOff>
      <xdr:row>0</xdr:row>
      <xdr:rowOff>173182</xdr:rowOff>
    </xdr:from>
    <xdr:to>
      <xdr:col>5</xdr:col>
      <xdr:colOff>571500</xdr:colOff>
      <xdr:row>31</xdr:row>
      <xdr:rowOff>34636</xdr:rowOff>
    </xdr:to>
    <xdr:sp macro="" textlink="">
      <xdr:nvSpPr>
        <xdr:cNvPr id="2" name="Rectangle: Rounded Corners 1">
          <a:extLst>
            <a:ext uri="{FF2B5EF4-FFF2-40B4-BE49-F238E27FC236}">
              <a16:creationId xmlns:a16="http://schemas.microsoft.com/office/drawing/2014/main" id="{F582D411-813B-4255-3DB6-002D032D6809}"/>
            </a:ext>
          </a:extLst>
        </xdr:cNvPr>
        <xdr:cNvSpPr/>
      </xdr:nvSpPr>
      <xdr:spPr>
        <a:xfrm>
          <a:off x="3042588" y="173182"/>
          <a:ext cx="559594" cy="5766954"/>
        </a:xfrm>
        <a:prstGeom prst="roundRect">
          <a:avLst>
            <a:gd name="adj" fmla="val 27306"/>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266326</xdr:colOff>
      <xdr:row>7</xdr:row>
      <xdr:rowOff>48705</xdr:rowOff>
    </xdr:from>
    <xdr:to>
      <xdr:col>21</xdr:col>
      <xdr:colOff>346359</xdr:colOff>
      <xdr:row>21</xdr:row>
      <xdr:rowOff>173182</xdr:rowOff>
    </xdr:to>
    <xdr:pic>
      <xdr:nvPicPr>
        <xdr:cNvPr id="9" name="Picture 8">
          <a:extLst>
            <a:ext uri="{FF2B5EF4-FFF2-40B4-BE49-F238E27FC236}">
              <a16:creationId xmlns:a16="http://schemas.microsoft.com/office/drawing/2014/main" id="{553E44B2-03DF-B4ED-8F1F-70457B6DE7E7}"/>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5777219" y="1382205"/>
          <a:ext cx="7427890" cy="2791477"/>
        </a:xfrm>
        <a:prstGeom prst="rect">
          <a:avLst/>
        </a:prstGeom>
      </xdr:spPr>
    </xdr:pic>
    <xdr:clientData/>
  </xdr:twoCellAnchor>
  <xdr:twoCellAnchor editAs="oneCell">
    <xdr:from>
      <xdr:col>5</xdr:col>
      <xdr:colOff>142872</xdr:colOff>
      <xdr:row>10</xdr:row>
      <xdr:rowOff>148827</xdr:rowOff>
    </xdr:from>
    <xdr:to>
      <xdr:col>5</xdr:col>
      <xdr:colOff>417192</xdr:colOff>
      <xdr:row>12</xdr:row>
      <xdr:rowOff>42147</xdr:rowOff>
    </xdr:to>
    <xdr:pic>
      <xdr:nvPicPr>
        <xdr:cNvPr id="11" name="Picture 10">
          <a:hlinkClick xmlns:r="http://schemas.openxmlformats.org/officeDocument/2006/relationships" r:id="rId2"/>
          <a:extLst>
            <a:ext uri="{FF2B5EF4-FFF2-40B4-BE49-F238E27FC236}">
              <a16:creationId xmlns:a16="http://schemas.microsoft.com/office/drawing/2014/main" id="{DC449496-2C82-3B2B-7D79-3862558F05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78966" y="2053827"/>
          <a:ext cx="274320" cy="274320"/>
        </a:xfrm>
        <a:prstGeom prst="rect">
          <a:avLst/>
        </a:prstGeom>
      </xdr:spPr>
    </xdr:pic>
    <xdr:clientData/>
  </xdr:twoCellAnchor>
  <xdr:twoCellAnchor editAs="oneCell">
    <xdr:from>
      <xdr:col>5</xdr:col>
      <xdr:colOff>166685</xdr:colOff>
      <xdr:row>25</xdr:row>
      <xdr:rowOff>178592</xdr:rowOff>
    </xdr:from>
    <xdr:to>
      <xdr:col>5</xdr:col>
      <xdr:colOff>441005</xdr:colOff>
      <xdr:row>27</xdr:row>
      <xdr:rowOff>71912</xdr:rowOff>
    </xdr:to>
    <xdr:pic>
      <xdr:nvPicPr>
        <xdr:cNvPr id="15" name="Picture 14">
          <a:extLst>
            <a:ext uri="{FF2B5EF4-FFF2-40B4-BE49-F238E27FC236}">
              <a16:creationId xmlns:a16="http://schemas.microsoft.com/office/drawing/2014/main" id="{E5472B56-3F9D-9F4B-EBBE-CCAE680EE1B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02779" y="4941092"/>
          <a:ext cx="274320" cy="274320"/>
        </a:xfrm>
        <a:prstGeom prst="rect">
          <a:avLst/>
        </a:prstGeom>
      </xdr:spPr>
    </xdr:pic>
    <xdr:clientData/>
  </xdr:twoCellAnchor>
  <xdr:twoCellAnchor editAs="oneCell">
    <xdr:from>
      <xdr:col>5</xdr:col>
      <xdr:colOff>142872</xdr:colOff>
      <xdr:row>15</xdr:row>
      <xdr:rowOff>23812</xdr:rowOff>
    </xdr:from>
    <xdr:to>
      <xdr:col>5</xdr:col>
      <xdr:colOff>417192</xdr:colOff>
      <xdr:row>16</xdr:row>
      <xdr:rowOff>107632</xdr:rowOff>
    </xdr:to>
    <xdr:pic>
      <xdr:nvPicPr>
        <xdr:cNvPr id="17" name="Picture 16">
          <a:hlinkClick xmlns:r="http://schemas.openxmlformats.org/officeDocument/2006/relationships" r:id="rId5"/>
          <a:extLst>
            <a:ext uri="{FF2B5EF4-FFF2-40B4-BE49-F238E27FC236}">
              <a16:creationId xmlns:a16="http://schemas.microsoft.com/office/drawing/2014/main" id="{8A97A6F9-78E1-038E-8AD6-84E32D0CD72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78966" y="2881312"/>
          <a:ext cx="274320" cy="274320"/>
        </a:xfrm>
        <a:prstGeom prst="rect">
          <a:avLst/>
        </a:prstGeom>
      </xdr:spPr>
    </xdr:pic>
    <xdr:clientData/>
  </xdr:twoCellAnchor>
  <xdr:twoCellAnchor editAs="oneCell">
    <xdr:from>
      <xdr:col>5</xdr:col>
      <xdr:colOff>130966</xdr:colOff>
      <xdr:row>6</xdr:row>
      <xdr:rowOff>83343</xdr:rowOff>
    </xdr:from>
    <xdr:to>
      <xdr:col>5</xdr:col>
      <xdr:colOff>405286</xdr:colOff>
      <xdr:row>7</xdr:row>
      <xdr:rowOff>167163</xdr:rowOff>
    </xdr:to>
    <xdr:pic>
      <xdr:nvPicPr>
        <xdr:cNvPr id="19" name="Picture 18">
          <a:hlinkClick xmlns:r="http://schemas.openxmlformats.org/officeDocument/2006/relationships" r:id="rId7"/>
          <a:extLst>
            <a:ext uri="{FF2B5EF4-FFF2-40B4-BE49-F238E27FC236}">
              <a16:creationId xmlns:a16="http://schemas.microsoft.com/office/drawing/2014/main" id="{76F81977-E3AE-B7E2-FA69-067BE825710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167060" y="1226343"/>
          <a:ext cx="274320" cy="274320"/>
        </a:xfrm>
        <a:prstGeom prst="rect">
          <a:avLst/>
        </a:prstGeom>
      </xdr:spPr>
    </xdr:pic>
    <xdr:clientData/>
  </xdr:twoCellAnchor>
  <xdr:twoCellAnchor editAs="oneCell">
    <xdr:from>
      <xdr:col>20</xdr:col>
      <xdr:colOff>51955</xdr:colOff>
      <xdr:row>9</xdr:row>
      <xdr:rowOff>4327</xdr:rowOff>
    </xdr:from>
    <xdr:to>
      <xdr:col>20</xdr:col>
      <xdr:colOff>398318</xdr:colOff>
      <xdr:row>10</xdr:row>
      <xdr:rowOff>160753</xdr:rowOff>
    </xdr:to>
    <xdr:pic>
      <xdr:nvPicPr>
        <xdr:cNvPr id="21" name="Picture 20">
          <a:extLst>
            <a:ext uri="{FF2B5EF4-FFF2-40B4-BE49-F238E27FC236}">
              <a16:creationId xmlns:a16="http://schemas.microsoft.com/office/drawing/2014/main" id="{CCC6AF08-6927-C780-E98D-A30D1DD38AB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174682" y="1718827"/>
          <a:ext cx="346363" cy="346926"/>
        </a:xfrm>
        <a:prstGeom prst="rect">
          <a:avLst/>
        </a:prstGeom>
      </xdr:spPr>
    </xdr:pic>
    <xdr:clientData/>
  </xdr:twoCellAnchor>
  <xdr:twoCellAnchor editAs="oneCell">
    <xdr:from>
      <xdr:col>5</xdr:col>
      <xdr:colOff>144522</xdr:colOff>
      <xdr:row>2</xdr:row>
      <xdr:rowOff>35718</xdr:rowOff>
    </xdr:from>
    <xdr:to>
      <xdr:col>5</xdr:col>
      <xdr:colOff>418842</xdr:colOff>
      <xdr:row>3</xdr:row>
      <xdr:rowOff>119538</xdr:rowOff>
    </xdr:to>
    <xdr:pic>
      <xdr:nvPicPr>
        <xdr:cNvPr id="25" name="Picture 24">
          <a:extLst>
            <a:ext uri="{FF2B5EF4-FFF2-40B4-BE49-F238E27FC236}">
              <a16:creationId xmlns:a16="http://schemas.microsoft.com/office/drawing/2014/main" id="{DD57D94B-208D-E750-2DE3-AAB123D973B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180616" y="416718"/>
          <a:ext cx="274320" cy="274320"/>
        </a:xfrm>
        <a:prstGeom prst="rect">
          <a:avLst/>
        </a:prstGeom>
      </xdr:spPr>
    </xdr:pic>
    <xdr:clientData/>
  </xdr:twoCellAnchor>
  <xdr:twoCellAnchor>
    <xdr:from>
      <xdr:col>6</xdr:col>
      <xdr:colOff>450273</xdr:colOff>
      <xdr:row>4</xdr:row>
      <xdr:rowOff>173177</xdr:rowOff>
    </xdr:from>
    <xdr:to>
      <xdr:col>19</xdr:col>
      <xdr:colOff>190500</xdr:colOff>
      <xdr:row>10</xdr:row>
      <xdr:rowOff>17319</xdr:rowOff>
    </xdr:to>
    <xdr:sp macro="" textlink="">
      <xdr:nvSpPr>
        <xdr:cNvPr id="34" name="Rectangle: Rounded Corners 33">
          <a:extLst>
            <a:ext uri="{FF2B5EF4-FFF2-40B4-BE49-F238E27FC236}">
              <a16:creationId xmlns:a16="http://schemas.microsoft.com/office/drawing/2014/main" id="{37BBA009-BE42-79C7-9444-76A0E6296201}"/>
            </a:ext>
          </a:extLst>
        </xdr:cNvPr>
        <xdr:cNvSpPr/>
      </xdr:nvSpPr>
      <xdr:spPr>
        <a:xfrm>
          <a:off x="4087091" y="935177"/>
          <a:ext cx="7620000" cy="987142"/>
        </a:xfrm>
        <a:prstGeom prst="roundRect">
          <a:avLst/>
        </a:prstGeom>
        <a:solidFill>
          <a:srgbClr val="1C1C1E">
            <a:alpha val="6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245698</xdr:colOff>
      <xdr:row>6</xdr:row>
      <xdr:rowOff>107671</xdr:rowOff>
    </xdr:from>
    <xdr:to>
      <xdr:col>16</xdr:col>
      <xdr:colOff>5321</xdr:colOff>
      <xdr:row>8</xdr:row>
      <xdr:rowOff>92431</xdr:rowOff>
    </xdr:to>
    <xdr:pic>
      <xdr:nvPicPr>
        <xdr:cNvPr id="13" name="Picture 12">
          <a:extLst>
            <a:ext uri="{FF2B5EF4-FFF2-40B4-BE49-F238E27FC236}">
              <a16:creationId xmlns:a16="http://schemas.microsoft.com/office/drawing/2014/main" id="{F741736A-E83E-43C4-5A1B-72D3EA133A3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337743" y="1250671"/>
          <a:ext cx="365760" cy="365760"/>
        </a:xfrm>
        <a:prstGeom prst="rect">
          <a:avLst/>
        </a:prstGeom>
      </xdr:spPr>
    </xdr:pic>
    <xdr:clientData/>
  </xdr:twoCellAnchor>
  <xdr:twoCellAnchor editAs="oneCell">
    <xdr:from>
      <xdr:col>6</xdr:col>
      <xdr:colOff>598556</xdr:colOff>
      <xdr:row>6</xdr:row>
      <xdr:rowOff>107671</xdr:rowOff>
    </xdr:from>
    <xdr:to>
      <xdr:col>7</xdr:col>
      <xdr:colOff>357223</xdr:colOff>
      <xdr:row>8</xdr:row>
      <xdr:rowOff>92431</xdr:rowOff>
    </xdr:to>
    <xdr:pic>
      <xdr:nvPicPr>
        <xdr:cNvPr id="23" name="Picture 22">
          <a:extLst>
            <a:ext uri="{FF2B5EF4-FFF2-40B4-BE49-F238E27FC236}">
              <a16:creationId xmlns:a16="http://schemas.microsoft.com/office/drawing/2014/main" id="{D257D7AC-7ECD-2C45-1B12-6BA06F25D61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235374" y="1250671"/>
          <a:ext cx="364804" cy="365760"/>
        </a:xfrm>
        <a:prstGeom prst="rect">
          <a:avLst/>
        </a:prstGeom>
      </xdr:spPr>
    </xdr:pic>
    <xdr:clientData/>
  </xdr:twoCellAnchor>
  <xdr:twoCellAnchor editAs="oneCell">
    <xdr:from>
      <xdr:col>10</xdr:col>
      <xdr:colOff>76680</xdr:colOff>
      <xdr:row>6</xdr:row>
      <xdr:rowOff>107672</xdr:rowOff>
    </xdr:from>
    <xdr:to>
      <xdr:col>10</xdr:col>
      <xdr:colOff>441692</xdr:colOff>
      <xdr:row>8</xdr:row>
      <xdr:rowOff>92432</xdr:rowOff>
    </xdr:to>
    <xdr:pic>
      <xdr:nvPicPr>
        <xdr:cNvPr id="29" name="Picture 28">
          <a:extLst>
            <a:ext uri="{FF2B5EF4-FFF2-40B4-BE49-F238E27FC236}">
              <a16:creationId xmlns:a16="http://schemas.microsoft.com/office/drawing/2014/main" id="{0AF5C8A0-AF94-5A97-D6CE-879DD8797F9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rot="10800000" flipV="1">
          <a:off x="6138044" y="1250672"/>
          <a:ext cx="365012" cy="365760"/>
        </a:xfrm>
        <a:prstGeom prst="rect">
          <a:avLst/>
        </a:prstGeom>
      </xdr:spPr>
    </xdr:pic>
    <xdr:clientData/>
  </xdr:twoCellAnchor>
  <xdr:twoCellAnchor editAs="oneCell">
    <xdr:from>
      <xdr:col>12</xdr:col>
      <xdr:colOff>472880</xdr:colOff>
      <xdr:row>6</xdr:row>
      <xdr:rowOff>107671</xdr:rowOff>
    </xdr:from>
    <xdr:to>
      <xdr:col>13</xdr:col>
      <xdr:colOff>231827</xdr:colOff>
      <xdr:row>8</xdr:row>
      <xdr:rowOff>92431</xdr:rowOff>
    </xdr:to>
    <xdr:pic>
      <xdr:nvPicPr>
        <xdr:cNvPr id="31" name="Picture 30">
          <a:extLst>
            <a:ext uri="{FF2B5EF4-FFF2-40B4-BE49-F238E27FC236}">
              <a16:creationId xmlns:a16="http://schemas.microsoft.com/office/drawing/2014/main" id="{5C89B6B6-113F-5049-D8C2-B46FDDA3D38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746516" y="1250671"/>
          <a:ext cx="365084" cy="365760"/>
        </a:xfrm>
        <a:prstGeom prst="rect">
          <a:avLst/>
        </a:prstGeom>
      </xdr:spPr>
    </xdr:pic>
    <xdr:clientData/>
  </xdr:twoCellAnchor>
  <xdr:twoCellAnchor>
    <xdr:from>
      <xdr:col>6</xdr:col>
      <xdr:colOff>484910</xdr:colOff>
      <xdr:row>2</xdr:row>
      <xdr:rowOff>51954</xdr:rowOff>
    </xdr:from>
    <xdr:to>
      <xdr:col>10</xdr:col>
      <xdr:colOff>121227</xdr:colOff>
      <xdr:row>4</xdr:row>
      <xdr:rowOff>17317</xdr:rowOff>
    </xdr:to>
    <xdr:sp macro="" textlink="">
      <xdr:nvSpPr>
        <xdr:cNvPr id="35" name="TextBox 34">
          <a:extLst>
            <a:ext uri="{FF2B5EF4-FFF2-40B4-BE49-F238E27FC236}">
              <a16:creationId xmlns:a16="http://schemas.microsoft.com/office/drawing/2014/main" id="{1C64605A-6D4B-FE43-28A2-76E173307852}"/>
            </a:ext>
          </a:extLst>
        </xdr:cNvPr>
        <xdr:cNvSpPr txBox="1"/>
      </xdr:nvSpPr>
      <xdr:spPr>
        <a:xfrm>
          <a:off x="4121728" y="432954"/>
          <a:ext cx="2060863" cy="346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65000"/>
                </a:schemeClr>
              </a:solidFill>
            </a:rPr>
            <a:t>Nigerian Car </a:t>
          </a:r>
          <a:r>
            <a:rPr lang="en-US" sz="1600">
              <a:solidFill>
                <a:schemeClr val="bg1">
                  <a:lumMod val="65000"/>
                </a:schemeClr>
              </a:solidFill>
              <a:latin typeface="Calibri" panose="020F0502020204030204" pitchFamily="34" charset="0"/>
              <a:cs typeface="Calibri" panose="020F0502020204030204" pitchFamily="34" charset="0"/>
            </a:rPr>
            <a:t>Market</a:t>
          </a:r>
        </a:p>
      </xdr:txBody>
    </xdr:sp>
    <xdr:clientData/>
  </xdr:twoCellAnchor>
  <xdr:twoCellAnchor>
    <xdr:from>
      <xdr:col>6</xdr:col>
      <xdr:colOff>464128</xdr:colOff>
      <xdr:row>4</xdr:row>
      <xdr:rowOff>169716</xdr:rowOff>
    </xdr:from>
    <xdr:to>
      <xdr:col>11</xdr:col>
      <xdr:colOff>554182</xdr:colOff>
      <xdr:row>6</xdr:row>
      <xdr:rowOff>103907</xdr:rowOff>
    </xdr:to>
    <xdr:sp macro="" textlink="">
      <xdr:nvSpPr>
        <xdr:cNvPr id="36" name="TextBox 35">
          <a:extLst>
            <a:ext uri="{FF2B5EF4-FFF2-40B4-BE49-F238E27FC236}">
              <a16:creationId xmlns:a16="http://schemas.microsoft.com/office/drawing/2014/main" id="{9E04A653-614D-2FBF-E423-2B74F7C2412F}"/>
            </a:ext>
          </a:extLst>
        </xdr:cNvPr>
        <xdr:cNvSpPr txBox="1"/>
      </xdr:nvSpPr>
      <xdr:spPr>
        <a:xfrm>
          <a:off x="4100946" y="931716"/>
          <a:ext cx="3120736" cy="31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Calibri" panose="020F0502020204030204" pitchFamily="34" charset="0"/>
              <a:cs typeface="Calibri" panose="020F0502020204030204" pitchFamily="34" charset="0"/>
            </a:rPr>
            <a:t>Average Vehicle Metrics: Nigerian Car Market</a:t>
          </a:r>
        </a:p>
      </xdr:txBody>
    </xdr:sp>
    <xdr:clientData/>
  </xdr:twoCellAnchor>
  <xdr:twoCellAnchor>
    <xdr:from>
      <xdr:col>7</xdr:col>
      <xdr:colOff>581889</xdr:colOff>
      <xdr:row>8</xdr:row>
      <xdr:rowOff>79664</xdr:rowOff>
    </xdr:from>
    <xdr:to>
      <xdr:col>9</xdr:col>
      <xdr:colOff>34634</xdr:colOff>
      <xdr:row>9</xdr:row>
      <xdr:rowOff>121228</xdr:rowOff>
    </xdr:to>
    <xdr:sp macro="" textlink="">
      <xdr:nvSpPr>
        <xdr:cNvPr id="37" name="TextBox 36">
          <a:extLst>
            <a:ext uri="{FF2B5EF4-FFF2-40B4-BE49-F238E27FC236}">
              <a16:creationId xmlns:a16="http://schemas.microsoft.com/office/drawing/2014/main" id="{4C865261-F379-9611-79AB-C18A63DA0EFB}"/>
            </a:ext>
          </a:extLst>
        </xdr:cNvPr>
        <xdr:cNvSpPr txBox="1"/>
      </xdr:nvSpPr>
      <xdr:spPr>
        <a:xfrm>
          <a:off x="4824844" y="1603664"/>
          <a:ext cx="665017" cy="23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65000"/>
                </a:schemeClr>
              </a:solidFill>
              <a:latin typeface="Calibri" panose="020F0502020204030204" pitchFamily="34" charset="0"/>
              <a:cs typeface="Calibri" panose="020F0502020204030204" pitchFamily="34" charset="0"/>
            </a:rPr>
            <a:t>Price  </a:t>
          </a:r>
        </a:p>
      </xdr:txBody>
    </xdr:sp>
    <xdr:clientData/>
  </xdr:twoCellAnchor>
  <xdr:twoCellAnchor>
    <xdr:from>
      <xdr:col>10</xdr:col>
      <xdr:colOff>439878</xdr:colOff>
      <xdr:row>8</xdr:row>
      <xdr:rowOff>79664</xdr:rowOff>
    </xdr:from>
    <xdr:to>
      <xdr:col>12</xdr:col>
      <xdr:colOff>138543</xdr:colOff>
      <xdr:row>9</xdr:row>
      <xdr:rowOff>176644</xdr:rowOff>
    </xdr:to>
    <xdr:sp macro="" textlink="">
      <xdr:nvSpPr>
        <xdr:cNvPr id="38" name="TextBox 37">
          <a:extLst>
            <a:ext uri="{FF2B5EF4-FFF2-40B4-BE49-F238E27FC236}">
              <a16:creationId xmlns:a16="http://schemas.microsoft.com/office/drawing/2014/main" id="{571CF2A0-F389-8CA4-8976-88E057EE458C}"/>
            </a:ext>
          </a:extLst>
        </xdr:cNvPr>
        <xdr:cNvSpPr txBox="1"/>
      </xdr:nvSpPr>
      <xdr:spPr>
        <a:xfrm>
          <a:off x="6501242" y="1603664"/>
          <a:ext cx="910937" cy="28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65000"/>
                </a:schemeClr>
              </a:solidFill>
              <a:latin typeface="Calibri" panose="020F0502020204030204" pitchFamily="34" charset="0"/>
              <a:ea typeface="+mn-ea"/>
              <a:cs typeface="Calibri" panose="020F0502020204030204" pitchFamily="34" charset="0"/>
            </a:rPr>
            <a:t>Mileage</a:t>
          </a:r>
        </a:p>
      </xdr:txBody>
    </xdr:sp>
    <xdr:clientData/>
  </xdr:twoCellAnchor>
  <xdr:twoCellAnchor>
    <xdr:from>
      <xdr:col>13</xdr:col>
      <xdr:colOff>193960</xdr:colOff>
      <xdr:row>8</xdr:row>
      <xdr:rowOff>79664</xdr:rowOff>
    </xdr:from>
    <xdr:to>
      <xdr:col>15</xdr:col>
      <xdr:colOff>103907</xdr:colOff>
      <xdr:row>9</xdr:row>
      <xdr:rowOff>162788</xdr:rowOff>
    </xdr:to>
    <xdr:sp macro="" textlink="">
      <xdr:nvSpPr>
        <xdr:cNvPr id="39" name="TextBox 38">
          <a:extLst>
            <a:ext uri="{FF2B5EF4-FFF2-40B4-BE49-F238E27FC236}">
              <a16:creationId xmlns:a16="http://schemas.microsoft.com/office/drawing/2014/main" id="{14FC5D1A-563E-367B-387C-1DDB77D91CEA}"/>
            </a:ext>
          </a:extLst>
        </xdr:cNvPr>
        <xdr:cNvSpPr txBox="1"/>
      </xdr:nvSpPr>
      <xdr:spPr>
        <a:xfrm>
          <a:off x="8073733" y="1603664"/>
          <a:ext cx="1122219" cy="273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65000"/>
                </a:schemeClr>
              </a:solidFill>
              <a:latin typeface="Calibri" panose="020F0502020204030204" pitchFamily="34" charset="0"/>
              <a:ea typeface="+mn-ea"/>
              <a:cs typeface="Calibri" panose="020F0502020204030204" pitchFamily="34" charset="0"/>
            </a:rPr>
            <a:t>Horse</a:t>
          </a:r>
          <a:r>
            <a:rPr lang="en-US" sz="1400">
              <a:solidFill>
                <a:schemeClr val="bg1">
                  <a:lumMod val="65000"/>
                </a:schemeClr>
              </a:solidFill>
            </a:rPr>
            <a:t> Power</a:t>
          </a:r>
        </a:p>
      </xdr:txBody>
    </xdr:sp>
    <xdr:clientData/>
  </xdr:twoCellAnchor>
  <xdr:twoCellAnchor>
    <xdr:from>
      <xdr:col>15</xdr:col>
      <xdr:colOff>606133</xdr:colOff>
      <xdr:row>8</xdr:row>
      <xdr:rowOff>79664</xdr:rowOff>
    </xdr:from>
    <xdr:to>
      <xdr:col>17</xdr:col>
      <xdr:colOff>398315</xdr:colOff>
      <xdr:row>9</xdr:row>
      <xdr:rowOff>148933</xdr:rowOff>
    </xdr:to>
    <xdr:sp macro="" textlink="">
      <xdr:nvSpPr>
        <xdr:cNvPr id="40" name="TextBox 39">
          <a:extLst>
            <a:ext uri="{FF2B5EF4-FFF2-40B4-BE49-F238E27FC236}">
              <a16:creationId xmlns:a16="http://schemas.microsoft.com/office/drawing/2014/main" id="{85444FA9-90D2-4A05-2305-BF5B59D71F80}"/>
            </a:ext>
          </a:extLst>
        </xdr:cNvPr>
        <xdr:cNvSpPr txBox="1"/>
      </xdr:nvSpPr>
      <xdr:spPr>
        <a:xfrm>
          <a:off x="9698178" y="1603664"/>
          <a:ext cx="1004455" cy="259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65000"/>
                </a:schemeClr>
              </a:solidFill>
              <a:latin typeface="Calibri" panose="020F0502020204030204" pitchFamily="34" charset="0"/>
              <a:ea typeface="+mn-ea"/>
              <a:cs typeface="Calibri" panose="020F0502020204030204" pitchFamily="34" charset="0"/>
            </a:rPr>
            <a:t>Engine</a:t>
          </a:r>
          <a:r>
            <a:rPr lang="en-US" sz="1400">
              <a:solidFill>
                <a:schemeClr val="bg1">
                  <a:lumMod val="65000"/>
                </a:schemeClr>
              </a:solidFill>
            </a:rPr>
            <a:t> Size</a:t>
          </a:r>
        </a:p>
      </xdr:txBody>
    </xdr:sp>
    <xdr:clientData/>
  </xdr:twoCellAnchor>
  <xdr:twoCellAnchor>
    <xdr:from>
      <xdr:col>7</xdr:col>
      <xdr:colOff>588814</xdr:colOff>
      <xdr:row>6</xdr:row>
      <xdr:rowOff>96983</xdr:rowOff>
    </xdr:from>
    <xdr:to>
      <xdr:col>9</xdr:col>
      <xdr:colOff>380999</xdr:colOff>
      <xdr:row>8</xdr:row>
      <xdr:rowOff>45029</xdr:rowOff>
    </xdr:to>
    <xdr:sp macro="" textlink="Analysis!B3">
      <xdr:nvSpPr>
        <xdr:cNvPr id="41" name="TextBox 40">
          <a:extLst>
            <a:ext uri="{FF2B5EF4-FFF2-40B4-BE49-F238E27FC236}">
              <a16:creationId xmlns:a16="http://schemas.microsoft.com/office/drawing/2014/main" id="{630C0E3F-1C14-45A3-62F0-9715F9AAD527}"/>
            </a:ext>
          </a:extLst>
        </xdr:cNvPr>
        <xdr:cNvSpPr txBox="1"/>
      </xdr:nvSpPr>
      <xdr:spPr>
        <a:xfrm>
          <a:off x="4831769" y="1239983"/>
          <a:ext cx="1004457" cy="329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D93E7F-C2CC-444D-B5FC-5C33FE62CB43}" type="TxLink">
            <a:rPr lang="en-US" sz="2000" b="0" i="0" u="none" strike="noStrike">
              <a:solidFill>
                <a:schemeClr val="bg1">
                  <a:lumMod val="65000"/>
                </a:schemeClr>
              </a:solidFill>
              <a:latin typeface="Aptos Narrow"/>
            </a:rPr>
            <a:pPr/>
            <a:t>₦8.9M</a:t>
          </a:fld>
          <a:endParaRPr lang="en-US" sz="2000">
            <a:solidFill>
              <a:schemeClr val="bg1">
                <a:lumMod val="65000"/>
              </a:schemeClr>
            </a:solidFill>
          </a:endParaRPr>
        </a:p>
      </xdr:txBody>
    </xdr:sp>
    <xdr:clientData/>
  </xdr:twoCellAnchor>
  <xdr:twoCellAnchor>
    <xdr:from>
      <xdr:col>10</xdr:col>
      <xdr:colOff>446804</xdr:colOff>
      <xdr:row>6</xdr:row>
      <xdr:rowOff>96983</xdr:rowOff>
    </xdr:from>
    <xdr:to>
      <xdr:col>12</xdr:col>
      <xdr:colOff>238989</xdr:colOff>
      <xdr:row>8</xdr:row>
      <xdr:rowOff>45029</xdr:rowOff>
    </xdr:to>
    <xdr:sp macro="" textlink="Analysis!B12">
      <xdr:nvSpPr>
        <xdr:cNvPr id="43" name="TextBox 42">
          <a:extLst>
            <a:ext uri="{FF2B5EF4-FFF2-40B4-BE49-F238E27FC236}">
              <a16:creationId xmlns:a16="http://schemas.microsoft.com/office/drawing/2014/main" id="{723B934B-48A5-CE45-7A49-3B04B35C7888}"/>
            </a:ext>
          </a:extLst>
        </xdr:cNvPr>
        <xdr:cNvSpPr txBox="1"/>
      </xdr:nvSpPr>
      <xdr:spPr>
        <a:xfrm>
          <a:off x="6508168" y="1239983"/>
          <a:ext cx="1004457" cy="329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539C8E-C317-4EEC-85CF-65848DCB4678}" type="TxLink">
            <a:rPr lang="en-US" sz="2000" b="0" i="0" u="none" strike="noStrike">
              <a:solidFill>
                <a:schemeClr val="bg1">
                  <a:lumMod val="65000"/>
                </a:schemeClr>
              </a:solidFill>
              <a:latin typeface="Aptos Narrow"/>
            </a:rPr>
            <a:pPr/>
            <a:t>28K</a:t>
          </a:fld>
          <a:endParaRPr lang="en-US" sz="4000">
            <a:solidFill>
              <a:schemeClr val="bg1">
                <a:lumMod val="65000"/>
              </a:schemeClr>
            </a:solidFill>
          </a:endParaRPr>
        </a:p>
      </xdr:txBody>
    </xdr:sp>
    <xdr:clientData/>
  </xdr:twoCellAnchor>
  <xdr:twoCellAnchor>
    <xdr:from>
      <xdr:col>13</xdr:col>
      <xdr:colOff>204349</xdr:colOff>
      <xdr:row>6</xdr:row>
      <xdr:rowOff>96983</xdr:rowOff>
    </xdr:from>
    <xdr:to>
      <xdr:col>14</xdr:col>
      <xdr:colOff>602670</xdr:colOff>
      <xdr:row>8</xdr:row>
      <xdr:rowOff>45029</xdr:rowOff>
    </xdr:to>
    <xdr:sp macro="" textlink="Analysis!B8">
      <xdr:nvSpPr>
        <xdr:cNvPr id="44" name="TextBox 43">
          <a:extLst>
            <a:ext uri="{FF2B5EF4-FFF2-40B4-BE49-F238E27FC236}">
              <a16:creationId xmlns:a16="http://schemas.microsoft.com/office/drawing/2014/main" id="{1B8069C8-A87C-2515-D6D8-A8B04A3A7FBB}"/>
            </a:ext>
          </a:extLst>
        </xdr:cNvPr>
        <xdr:cNvSpPr txBox="1"/>
      </xdr:nvSpPr>
      <xdr:spPr>
        <a:xfrm>
          <a:off x="8084122" y="1239983"/>
          <a:ext cx="1004457" cy="329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388D9D-57A2-4B59-90CD-506B66F719F7}" type="TxLink">
            <a:rPr lang="en-US" sz="2000" b="0" i="0" u="none" strike="noStrike">
              <a:solidFill>
                <a:schemeClr val="bg1">
                  <a:lumMod val="65000"/>
                </a:schemeClr>
              </a:solidFill>
              <a:latin typeface="Aptos Narrow"/>
            </a:rPr>
            <a:pPr/>
            <a:t>248</a:t>
          </a:fld>
          <a:endParaRPr lang="en-US" sz="4000">
            <a:solidFill>
              <a:schemeClr val="bg1">
                <a:lumMod val="65000"/>
              </a:schemeClr>
            </a:solidFill>
          </a:endParaRPr>
        </a:p>
      </xdr:txBody>
    </xdr:sp>
    <xdr:clientData/>
  </xdr:twoCellAnchor>
  <xdr:twoCellAnchor>
    <xdr:from>
      <xdr:col>16</xdr:col>
      <xdr:colOff>27704</xdr:colOff>
      <xdr:row>6</xdr:row>
      <xdr:rowOff>96983</xdr:rowOff>
    </xdr:from>
    <xdr:to>
      <xdr:col>17</xdr:col>
      <xdr:colOff>426025</xdr:colOff>
      <xdr:row>8</xdr:row>
      <xdr:rowOff>45029</xdr:rowOff>
    </xdr:to>
    <xdr:sp macro="" textlink="Analysis!B16">
      <xdr:nvSpPr>
        <xdr:cNvPr id="45" name="TextBox 44">
          <a:extLst>
            <a:ext uri="{FF2B5EF4-FFF2-40B4-BE49-F238E27FC236}">
              <a16:creationId xmlns:a16="http://schemas.microsoft.com/office/drawing/2014/main" id="{3FF91C4B-ADB5-FE4C-975A-EF50826B75F9}"/>
            </a:ext>
          </a:extLst>
        </xdr:cNvPr>
        <xdr:cNvSpPr txBox="1"/>
      </xdr:nvSpPr>
      <xdr:spPr>
        <a:xfrm>
          <a:off x="9725886" y="1239983"/>
          <a:ext cx="1004457" cy="329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25D92C-5DF1-41D0-987A-CE113AB4D4F9}" type="TxLink">
            <a:rPr lang="en-US" sz="2000" b="0" i="0" u="none" strike="noStrike">
              <a:solidFill>
                <a:schemeClr val="bg1">
                  <a:lumMod val="65000"/>
                </a:schemeClr>
              </a:solidFill>
              <a:latin typeface="Aptos Narrow"/>
            </a:rPr>
            <a:pPr/>
            <a:t>3.2K</a:t>
          </a:fld>
          <a:endParaRPr lang="en-US" sz="4000">
            <a:solidFill>
              <a:schemeClr val="bg1">
                <a:lumMod val="65000"/>
              </a:schemeClr>
            </a:solidFill>
          </a:endParaRPr>
        </a:p>
      </xdr:txBody>
    </xdr:sp>
    <xdr:clientData/>
  </xdr:twoCellAnchor>
  <xdr:twoCellAnchor>
    <xdr:from>
      <xdr:col>11</xdr:col>
      <xdr:colOff>273622</xdr:colOff>
      <xdr:row>6</xdr:row>
      <xdr:rowOff>110838</xdr:rowOff>
    </xdr:from>
    <xdr:to>
      <xdr:col>12</xdr:col>
      <xdr:colOff>346361</xdr:colOff>
      <xdr:row>8</xdr:row>
      <xdr:rowOff>173182</xdr:rowOff>
    </xdr:to>
    <xdr:sp macro="" textlink="">
      <xdr:nvSpPr>
        <xdr:cNvPr id="46" name="TextBox 45">
          <a:extLst>
            <a:ext uri="{FF2B5EF4-FFF2-40B4-BE49-F238E27FC236}">
              <a16:creationId xmlns:a16="http://schemas.microsoft.com/office/drawing/2014/main" id="{08468576-8D39-3C75-1F53-410F6D92CD6C}"/>
            </a:ext>
          </a:extLst>
        </xdr:cNvPr>
        <xdr:cNvSpPr txBox="1"/>
      </xdr:nvSpPr>
      <xdr:spPr>
        <a:xfrm>
          <a:off x="6941122" y="1253838"/>
          <a:ext cx="678875" cy="44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lumMod val="65000"/>
                </a:schemeClr>
              </a:solidFill>
              <a:latin typeface="Aptos Narrow"/>
            </a:rPr>
            <a:t>(km)</a:t>
          </a:r>
        </a:p>
      </xdr:txBody>
    </xdr:sp>
    <xdr:clientData/>
  </xdr:twoCellAnchor>
  <xdr:twoCellAnchor>
    <xdr:from>
      <xdr:col>0</xdr:col>
      <xdr:colOff>0</xdr:colOff>
      <xdr:row>6</xdr:row>
      <xdr:rowOff>159329</xdr:rowOff>
    </xdr:from>
    <xdr:to>
      <xdr:col>0</xdr:col>
      <xdr:colOff>135081</xdr:colOff>
      <xdr:row>9</xdr:row>
      <xdr:rowOff>31173</xdr:rowOff>
    </xdr:to>
    <xdr:sp macro="" textlink="">
      <xdr:nvSpPr>
        <xdr:cNvPr id="47" name="TextBox 46">
          <a:extLst>
            <a:ext uri="{FF2B5EF4-FFF2-40B4-BE49-F238E27FC236}">
              <a16:creationId xmlns:a16="http://schemas.microsoft.com/office/drawing/2014/main" id="{47C3B76E-D892-F607-B021-8AF97264248A}"/>
            </a:ext>
          </a:extLst>
        </xdr:cNvPr>
        <xdr:cNvSpPr txBox="1"/>
      </xdr:nvSpPr>
      <xdr:spPr>
        <a:xfrm>
          <a:off x="0" y="1302329"/>
          <a:ext cx="135081" cy="44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lumMod val="65000"/>
                </a:schemeClr>
              </a:solidFill>
              <a:latin typeface="Aptos Narrow"/>
            </a:rPr>
            <a:t>(km)</a:t>
          </a:r>
        </a:p>
      </xdr:txBody>
    </xdr:sp>
    <xdr:clientData/>
  </xdr:twoCellAnchor>
  <xdr:twoCellAnchor>
    <xdr:from>
      <xdr:col>13</xdr:col>
      <xdr:colOff>599204</xdr:colOff>
      <xdr:row>6</xdr:row>
      <xdr:rowOff>107374</xdr:rowOff>
    </xdr:from>
    <xdr:to>
      <xdr:col>15</xdr:col>
      <xdr:colOff>65807</xdr:colOff>
      <xdr:row>8</xdr:row>
      <xdr:rowOff>169718</xdr:rowOff>
    </xdr:to>
    <xdr:sp macro="" textlink="">
      <xdr:nvSpPr>
        <xdr:cNvPr id="48" name="TextBox 47">
          <a:extLst>
            <a:ext uri="{FF2B5EF4-FFF2-40B4-BE49-F238E27FC236}">
              <a16:creationId xmlns:a16="http://schemas.microsoft.com/office/drawing/2014/main" id="{D341A151-8E42-357D-8323-00F39BC73595}"/>
            </a:ext>
          </a:extLst>
        </xdr:cNvPr>
        <xdr:cNvSpPr txBox="1"/>
      </xdr:nvSpPr>
      <xdr:spPr>
        <a:xfrm>
          <a:off x="8478977" y="1250374"/>
          <a:ext cx="678875" cy="44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lumMod val="65000"/>
                </a:schemeClr>
              </a:solidFill>
              <a:latin typeface="Aptos Narrow"/>
            </a:rPr>
            <a:t>(hp)</a:t>
          </a:r>
        </a:p>
      </xdr:txBody>
    </xdr:sp>
    <xdr:clientData/>
  </xdr:twoCellAnchor>
  <xdr:twoCellAnchor>
    <xdr:from>
      <xdr:col>16</xdr:col>
      <xdr:colOff>526467</xdr:colOff>
      <xdr:row>6</xdr:row>
      <xdr:rowOff>103910</xdr:rowOff>
    </xdr:from>
    <xdr:to>
      <xdr:col>17</xdr:col>
      <xdr:colOff>599206</xdr:colOff>
      <xdr:row>8</xdr:row>
      <xdr:rowOff>166254</xdr:rowOff>
    </xdr:to>
    <xdr:sp macro="" textlink="">
      <xdr:nvSpPr>
        <xdr:cNvPr id="49" name="TextBox 48">
          <a:extLst>
            <a:ext uri="{FF2B5EF4-FFF2-40B4-BE49-F238E27FC236}">
              <a16:creationId xmlns:a16="http://schemas.microsoft.com/office/drawing/2014/main" id="{10C99443-5A6E-0ECA-C4D2-B5CEBE17A56D}"/>
            </a:ext>
          </a:extLst>
        </xdr:cNvPr>
        <xdr:cNvSpPr txBox="1"/>
      </xdr:nvSpPr>
      <xdr:spPr>
        <a:xfrm>
          <a:off x="10224649" y="1246910"/>
          <a:ext cx="678875" cy="44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lumMod val="65000"/>
                </a:schemeClr>
              </a:solidFill>
              <a:latin typeface="Aptos Narrow"/>
            </a:rPr>
            <a:t>(cc)</a:t>
          </a:r>
        </a:p>
      </xdr:txBody>
    </xdr:sp>
    <xdr:clientData/>
  </xdr:twoCellAnchor>
  <xdr:twoCellAnchor>
    <xdr:from>
      <xdr:col>6</xdr:col>
      <xdr:colOff>252846</xdr:colOff>
      <xdr:row>29</xdr:row>
      <xdr:rowOff>103909</xdr:rowOff>
    </xdr:from>
    <xdr:to>
      <xdr:col>12</xdr:col>
      <xdr:colOff>155864</xdr:colOff>
      <xdr:row>30</xdr:row>
      <xdr:rowOff>155863</xdr:rowOff>
    </xdr:to>
    <xdr:sp macro="" textlink="">
      <xdr:nvSpPr>
        <xdr:cNvPr id="50" name="TextBox 49">
          <a:extLst>
            <a:ext uri="{FF2B5EF4-FFF2-40B4-BE49-F238E27FC236}">
              <a16:creationId xmlns:a16="http://schemas.microsoft.com/office/drawing/2014/main" id="{75C30D4C-E1F0-9636-C8E3-F9D8D56C150D}"/>
            </a:ext>
          </a:extLst>
        </xdr:cNvPr>
        <xdr:cNvSpPr txBox="1"/>
      </xdr:nvSpPr>
      <xdr:spPr>
        <a:xfrm>
          <a:off x="3889664" y="5628409"/>
          <a:ext cx="3539836"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65000"/>
                </a:schemeClr>
              </a:solidFill>
              <a:latin typeface="Calibri" panose="020F0502020204030204" pitchFamily="34" charset="0"/>
              <a:cs typeface="Calibri" panose="020F0502020204030204" pitchFamily="34" charset="0"/>
            </a:rPr>
            <a:t>Insights on </a:t>
          </a:r>
          <a:r>
            <a:rPr lang="en-US" sz="900">
              <a:solidFill>
                <a:schemeClr val="bg1">
                  <a:lumMod val="65000"/>
                </a:schemeClr>
              </a:solidFill>
              <a:latin typeface="Calibri" panose="020F0502020204030204" pitchFamily="34" charset="0"/>
              <a:ea typeface="+mn-ea"/>
              <a:cs typeface="Calibri" panose="020F0502020204030204" pitchFamily="34" charset="0"/>
            </a:rPr>
            <a:t>Pricing</a:t>
          </a:r>
          <a:r>
            <a:rPr lang="en-US" sz="900">
              <a:solidFill>
                <a:schemeClr val="bg1">
                  <a:lumMod val="65000"/>
                </a:schemeClr>
              </a:solidFill>
              <a:latin typeface="Calibri" panose="020F0502020204030204" pitchFamily="34" charset="0"/>
              <a:cs typeface="Calibri" panose="020F0502020204030204" pitchFamily="34" charset="0"/>
            </a:rPr>
            <a:t> Mileage, and Performance: Sourced  from Car45.com</a:t>
          </a:r>
        </a:p>
      </xdr:txBody>
    </xdr:sp>
    <xdr:clientData/>
  </xdr:twoCellAnchor>
  <xdr:twoCellAnchor>
    <xdr:from>
      <xdr:col>6</xdr:col>
      <xdr:colOff>259773</xdr:colOff>
      <xdr:row>11</xdr:row>
      <xdr:rowOff>173179</xdr:rowOff>
    </xdr:from>
    <xdr:to>
      <xdr:col>11</xdr:col>
      <xdr:colOff>311727</xdr:colOff>
      <xdr:row>28</xdr:row>
      <xdr:rowOff>51952</xdr:rowOff>
    </xdr:to>
    <xdr:graphicFrame macro="">
      <xdr:nvGraphicFramePr>
        <xdr:cNvPr id="51" name="Chart 50">
          <a:extLst>
            <a:ext uri="{FF2B5EF4-FFF2-40B4-BE49-F238E27FC236}">
              <a16:creationId xmlns:a16="http://schemas.microsoft.com/office/drawing/2014/main" id="{AC77BBE6-6281-488B-8AE7-7911F72AD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0</xdr:colOff>
      <xdr:row>10</xdr:row>
      <xdr:rowOff>17318</xdr:rowOff>
    </xdr:from>
    <xdr:to>
      <xdr:col>23</xdr:col>
      <xdr:colOff>17316</xdr:colOff>
      <xdr:row>18</xdr:row>
      <xdr:rowOff>173182</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63F870AF-3B80-4E0F-9999-C7FA0DE5F0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2192000" y="1922318"/>
              <a:ext cx="1846116" cy="16798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242455</xdr:colOff>
      <xdr:row>8</xdr:row>
      <xdr:rowOff>173181</xdr:rowOff>
    </xdr:from>
    <xdr:to>
      <xdr:col>23</xdr:col>
      <xdr:colOff>121225</xdr:colOff>
      <xdr:row>10</xdr:row>
      <xdr:rowOff>155863</xdr:rowOff>
    </xdr:to>
    <xdr:sp macro="" textlink="">
      <xdr:nvSpPr>
        <xdr:cNvPr id="55" name="TextBox 54">
          <a:extLst>
            <a:ext uri="{FF2B5EF4-FFF2-40B4-BE49-F238E27FC236}">
              <a16:creationId xmlns:a16="http://schemas.microsoft.com/office/drawing/2014/main" id="{9C160FF6-780F-465C-93D6-EAFC2614EAF4}"/>
            </a:ext>
          </a:extLst>
        </xdr:cNvPr>
        <xdr:cNvSpPr txBox="1"/>
      </xdr:nvSpPr>
      <xdr:spPr>
        <a:xfrm>
          <a:off x="12365182" y="1697181"/>
          <a:ext cx="1697179" cy="36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65000"/>
                </a:schemeClr>
              </a:solidFill>
              <a:latin typeface="Calibri" panose="020F0502020204030204" pitchFamily="34" charset="0"/>
              <a:cs typeface="Calibri" panose="020F0502020204030204" pitchFamily="34" charset="0"/>
            </a:rPr>
            <a:t>Location:</a:t>
          </a:r>
          <a:r>
            <a:rPr lang="en-US" sz="1100" baseline="0">
              <a:solidFill>
                <a:schemeClr val="bg1">
                  <a:lumMod val="65000"/>
                </a:schemeClr>
              </a:solidFill>
              <a:latin typeface="Calibri" panose="020F0502020204030204" pitchFamily="34" charset="0"/>
              <a:cs typeface="Calibri" panose="020F0502020204030204" pitchFamily="34" charset="0"/>
            </a:rPr>
            <a:t> Nigeria - Africa</a:t>
          </a:r>
          <a:endParaRPr lang="en-US" sz="1100">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6</xdr:col>
      <xdr:colOff>294411</xdr:colOff>
      <xdr:row>11</xdr:row>
      <xdr:rowOff>17319</xdr:rowOff>
    </xdr:from>
    <xdr:to>
      <xdr:col>11</xdr:col>
      <xdr:colOff>384465</xdr:colOff>
      <xdr:row>12</xdr:row>
      <xdr:rowOff>142010</xdr:rowOff>
    </xdr:to>
    <xdr:sp macro="" textlink="">
      <xdr:nvSpPr>
        <xdr:cNvPr id="56" name="TextBox 55">
          <a:extLst>
            <a:ext uri="{FF2B5EF4-FFF2-40B4-BE49-F238E27FC236}">
              <a16:creationId xmlns:a16="http://schemas.microsoft.com/office/drawing/2014/main" id="{0A524E7F-F6C2-45B3-9EF4-D41329243AF0}"/>
            </a:ext>
          </a:extLst>
        </xdr:cNvPr>
        <xdr:cNvSpPr txBox="1"/>
      </xdr:nvSpPr>
      <xdr:spPr>
        <a:xfrm>
          <a:off x="3931229" y="2112819"/>
          <a:ext cx="3120736" cy="31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65000"/>
                </a:schemeClr>
              </a:solidFill>
              <a:latin typeface="Calibri" panose="020F0502020204030204" pitchFamily="34" charset="0"/>
              <a:cs typeface="Calibri" panose="020F0502020204030204" pitchFamily="34" charset="0"/>
            </a:rPr>
            <a:t>Top 10 Most popular Car</a:t>
          </a:r>
          <a:r>
            <a:rPr lang="en-US" sz="1050" baseline="0">
              <a:solidFill>
                <a:schemeClr val="bg1">
                  <a:lumMod val="65000"/>
                </a:schemeClr>
              </a:solidFill>
              <a:latin typeface="Calibri" panose="020F0502020204030204" pitchFamily="34" charset="0"/>
              <a:cs typeface="Calibri" panose="020F0502020204030204" pitchFamily="34" charset="0"/>
            </a:rPr>
            <a:t> Models in Nigeria</a:t>
          </a:r>
          <a:endParaRPr lang="en-US" sz="1050">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16</xdr:col>
      <xdr:colOff>138545</xdr:colOff>
      <xdr:row>21</xdr:row>
      <xdr:rowOff>121227</xdr:rowOff>
    </xdr:from>
    <xdr:to>
      <xdr:col>22</xdr:col>
      <xdr:colOff>502227</xdr:colOff>
      <xdr:row>31</xdr:row>
      <xdr:rowOff>17316</xdr:rowOff>
    </xdr:to>
    <xdr:graphicFrame macro="">
      <xdr:nvGraphicFramePr>
        <xdr:cNvPr id="57" name="Chart 56">
          <a:extLst>
            <a:ext uri="{FF2B5EF4-FFF2-40B4-BE49-F238E27FC236}">
              <a16:creationId xmlns:a16="http://schemas.microsoft.com/office/drawing/2014/main" id="{82C29C27-AFDF-4644-9A53-85BB4A74B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346362</xdr:colOff>
      <xdr:row>22</xdr:row>
      <xdr:rowOff>0</xdr:rowOff>
    </xdr:from>
    <xdr:to>
      <xdr:col>16</xdr:col>
      <xdr:colOff>380999</xdr:colOff>
      <xdr:row>23</xdr:row>
      <xdr:rowOff>121228</xdr:rowOff>
    </xdr:to>
    <xdr:sp macro="" textlink="">
      <xdr:nvSpPr>
        <xdr:cNvPr id="58" name="TextBox 57">
          <a:extLst>
            <a:ext uri="{FF2B5EF4-FFF2-40B4-BE49-F238E27FC236}">
              <a16:creationId xmlns:a16="http://schemas.microsoft.com/office/drawing/2014/main" id="{8484D926-5F9D-C3ED-7424-2CB8DCAABE38}"/>
            </a:ext>
          </a:extLst>
        </xdr:cNvPr>
        <xdr:cNvSpPr txBox="1"/>
      </xdr:nvSpPr>
      <xdr:spPr>
        <a:xfrm>
          <a:off x="7013862" y="4191000"/>
          <a:ext cx="3065319" cy="31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65000"/>
                </a:schemeClr>
              </a:solidFill>
              <a:latin typeface="Calibri" panose="020F0502020204030204" pitchFamily="34" charset="0"/>
              <a:cs typeface="Calibri" panose="020F0502020204030204" pitchFamily="34" charset="0"/>
            </a:rPr>
            <a:t>Naija's Drivers'</a:t>
          </a:r>
          <a:r>
            <a:rPr lang="en-US" sz="1200" baseline="0">
              <a:solidFill>
                <a:schemeClr val="bg1">
                  <a:lumMod val="65000"/>
                </a:schemeClr>
              </a:solidFill>
              <a:latin typeface="Calibri" panose="020F0502020204030204" pitchFamily="34" charset="0"/>
              <a:cs typeface="Calibri" panose="020F0502020204030204" pitchFamily="34" charset="0"/>
            </a:rPr>
            <a:t> Choices: Automatic or Manual</a:t>
          </a:r>
          <a:endParaRPr lang="en-US" sz="1200">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11</xdr:col>
      <xdr:colOff>415636</xdr:colOff>
      <xdr:row>22</xdr:row>
      <xdr:rowOff>0</xdr:rowOff>
    </xdr:from>
    <xdr:to>
      <xdr:col>16</xdr:col>
      <xdr:colOff>242455</xdr:colOff>
      <xdr:row>30</xdr:row>
      <xdr:rowOff>139843</xdr:rowOff>
    </xdr:to>
    <xdr:graphicFrame macro="">
      <xdr:nvGraphicFramePr>
        <xdr:cNvPr id="59" name="Chart 58">
          <a:extLst>
            <a:ext uri="{FF2B5EF4-FFF2-40B4-BE49-F238E27FC236}">
              <a16:creationId xmlns:a16="http://schemas.microsoft.com/office/drawing/2014/main" id="{114E33C2-374D-4702-8072-7001A4BAC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10393</xdr:colOff>
      <xdr:row>21</xdr:row>
      <xdr:rowOff>183573</xdr:rowOff>
    </xdr:from>
    <xdr:to>
      <xdr:col>23</xdr:col>
      <xdr:colOff>100448</xdr:colOff>
      <xdr:row>23</xdr:row>
      <xdr:rowOff>117764</xdr:rowOff>
    </xdr:to>
    <xdr:sp macro="" textlink="">
      <xdr:nvSpPr>
        <xdr:cNvPr id="60" name="TextBox 59">
          <a:extLst>
            <a:ext uri="{FF2B5EF4-FFF2-40B4-BE49-F238E27FC236}">
              <a16:creationId xmlns:a16="http://schemas.microsoft.com/office/drawing/2014/main" id="{B6E46C0A-0E2E-6AE4-2874-44218BE543D4}"/>
            </a:ext>
          </a:extLst>
        </xdr:cNvPr>
        <xdr:cNvSpPr txBox="1"/>
      </xdr:nvSpPr>
      <xdr:spPr>
        <a:xfrm>
          <a:off x="10920848" y="4184073"/>
          <a:ext cx="3120736" cy="31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65000"/>
                </a:schemeClr>
              </a:solidFill>
              <a:latin typeface="Calibri" panose="020F0502020204030204" pitchFamily="34" charset="0"/>
              <a:cs typeface="Calibri" panose="020F0502020204030204" pitchFamily="34" charset="0"/>
            </a:rPr>
            <a:t>Which Colour Wins? Top 10 Picks for Nigerian Cars</a:t>
          </a:r>
        </a:p>
      </xdr:txBody>
    </xdr:sp>
    <xdr:clientData/>
  </xdr:twoCellAnchor>
  <xdr:twoCellAnchor editAs="oneCell">
    <xdr:from>
      <xdr:col>19</xdr:col>
      <xdr:colOff>231322</xdr:colOff>
      <xdr:row>6</xdr:row>
      <xdr:rowOff>108857</xdr:rowOff>
    </xdr:from>
    <xdr:to>
      <xdr:col>23</xdr:col>
      <xdr:colOff>176893</xdr:colOff>
      <xdr:row>8</xdr:row>
      <xdr:rowOff>95250</xdr:rowOff>
    </xdr:to>
    <mc:AlternateContent xmlns:mc="http://schemas.openxmlformats.org/markup-compatibility/2006" xmlns:a14="http://schemas.microsoft.com/office/drawing/2010/main">
      <mc:Choice Requires="a14">
        <xdr:graphicFrame macro="">
          <xdr:nvGraphicFramePr>
            <xdr:cNvPr id="3" name="condition">
              <a:extLst>
                <a:ext uri="{FF2B5EF4-FFF2-40B4-BE49-F238E27FC236}">
                  <a16:creationId xmlns:a16="http://schemas.microsoft.com/office/drawing/2014/main" id="{113B3FCA-D4C9-4D42-A2D0-EBF604B72EE4}"/>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1865429" y="1251857"/>
              <a:ext cx="2394857" cy="367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4.719901273151" createdVersion="8" refreshedVersion="8" minRefreshableVersion="3" recordCount="2894" xr:uid="{484C1DFB-C5CF-4263-86F0-A9314A3EFFBF}">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s" numFmtId="0">
      <sharedItems count="13">
        <s v="Lagos"/>
        <s v="Federal Capital Territory"/>
        <s v="Oyo"/>
        <s v="Kwara"/>
        <s v="Rivers"/>
        <s v="Delta"/>
        <s v="Akwa Ibom"/>
        <s v="Anambra"/>
        <s v="Ogun"/>
        <s v="Imo"/>
        <s v="Kaduna"/>
        <s v="Edo"/>
        <s v="Ondo"/>
      </sharedItems>
    </cacheField>
    <cacheField name="Cities.1"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520139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1"/>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2"/>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2"/>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2"/>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2"/>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2"/>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2"/>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2"/>
  </r>
  <r>
    <n v="137"/>
    <s v="Toyota Avensis 2005 Silver"/>
    <n v="2700000"/>
    <x v="0"/>
    <s v="Yaba"/>
    <x v="2"/>
    <s v="Avensis"/>
    <n v="2005"/>
    <x v="4"/>
    <x v="1"/>
    <n v="32531"/>
    <n v="2000"/>
    <s v="Registered"/>
    <s v="Registered"/>
    <s v=""/>
    <s v=""/>
    <s v="LAGOS"/>
    <m/>
    <m/>
    <m/>
    <s v="SUV"/>
    <s v="Petrol"/>
    <x v="2"/>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3"/>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2"/>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3"/>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2"/>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2"/>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2"/>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2"/>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3"/>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2"/>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2"/>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2"/>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2"/>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2"/>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2"/>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2"/>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2"/>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2"/>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2"/>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2"/>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2"/>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2"/>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2"/>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2"/>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2"/>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3"/>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2"/>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2"/>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2"/>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3"/>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2"/>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2"/>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2"/>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2"/>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2"/>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2"/>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2"/>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2"/>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0"/>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2"/>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2"/>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2"/>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1"/>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2"/>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2"/>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2"/>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2"/>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2"/>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2"/>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2"/>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2"/>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2"/>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3"/>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2"/>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2"/>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2"/>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2"/>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2"/>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2"/>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2"/>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2"/>
  </r>
  <r>
    <n v="1003"/>
    <s v="Mercedes-Benz C180 2000 Black"/>
    <n v="1575000"/>
    <x v="2"/>
    <s v="Ibadan"/>
    <x v="3"/>
    <s v="C180"/>
    <n v="2000"/>
    <x v="2"/>
    <x v="1"/>
    <n v="16326"/>
    <n v="1800"/>
    <s v="Registered"/>
    <s v="Registered"/>
    <s v=""/>
    <s v=""/>
    <s v="Lagos"/>
    <m/>
    <m/>
    <m/>
    <s v=""/>
    <s v="Petrol"/>
    <x v="2"/>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2"/>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2"/>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2"/>
  </r>
  <r>
    <n v="1066"/>
    <s v="Honda Accord 2014 Gray"/>
    <n v="5775000"/>
    <x v="0"/>
    <s v="Ojodu"/>
    <x v="6"/>
    <s v="Accord"/>
    <n v="2014"/>
    <x v="8"/>
    <x v="1"/>
    <n v="22205"/>
    <n v="2400"/>
    <s v="Registered"/>
    <s v="Imported"/>
    <s v=""/>
    <s v=""/>
    <s v="LAGOS"/>
    <m/>
    <m/>
    <m/>
    <s v=""/>
    <s v="Petrol"/>
    <x v="3"/>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2"/>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2"/>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2"/>
  </r>
  <r>
    <n v="1109"/>
    <s v="Nissan Primera 1996 Silver"/>
    <n v="945000"/>
    <x v="4"/>
    <s v="Port-Harcourt"/>
    <x v="10"/>
    <s v="Primera"/>
    <n v="1996"/>
    <x v="4"/>
    <x v="1"/>
    <n v="31103"/>
    <n v="1600"/>
    <s v="Registered"/>
    <s v="Registered"/>
    <s v=""/>
    <s v=""/>
    <s v="BAYELSA"/>
    <m/>
    <m/>
    <m/>
    <s v=""/>
    <s v="Petrol"/>
    <x v="2"/>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2"/>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2"/>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2"/>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2"/>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2"/>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2"/>
  </r>
  <r>
    <n v="1199"/>
    <s v="Volkswagen Transporter 1998 Green"/>
    <n v="2100000"/>
    <x v="8"/>
    <s v="Ado-Odo/Ota"/>
    <x v="9"/>
    <s v="Transporter"/>
    <n v="1998"/>
    <x v="3"/>
    <x v="1"/>
    <n v="46253"/>
    <n v="2700"/>
    <s v="Registered"/>
    <s v="Imported"/>
    <s v=""/>
    <s v=""/>
    <s v=""/>
    <m/>
    <m/>
    <m/>
    <s v="Bus"/>
    <s v="Diesel"/>
    <x v="2"/>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3"/>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2"/>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2"/>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2"/>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2"/>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1"/>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2"/>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2"/>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2"/>
  </r>
  <r>
    <n v="1417"/>
    <s v="New Suzuki Alto 2022 Red"/>
    <n v="7840000"/>
    <x v="0"/>
    <s v="Ilupeju"/>
    <x v="29"/>
    <s v="Alto"/>
    <n v="2022"/>
    <x v="0"/>
    <x v="2"/>
    <n v="0"/>
    <m/>
    <s v=""/>
    <s v=""/>
    <s v=""/>
    <s v=""/>
    <s v=""/>
    <m/>
    <m/>
    <m/>
    <s v=""/>
    <s v=""/>
    <x v="2"/>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2"/>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2"/>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2"/>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2"/>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2"/>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2"/>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2"/>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3"/>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2"/>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2"/>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2"/>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2"/>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2"/>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2"/>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2"/>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2"/>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2"/>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0"/>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2"/>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2"/>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2"/>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2"/>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2"/>
  </r>
  <r>
    <n v="3231"/>
    <s v="Toyota Corolla Verso 1.6 2002 Gray"/>
    <n v="2100000"/>
    <x v="12"/>
    <s v="Akure"/>
    <x v="2"/>
    <s v="Corolla Verso"/>
    <n v="2002"/>
    <x v="8"/>
    <x v="1"/>
    <n v="23917"/>
    <n v="1600"/>
    <s v="Registered"/>
    <s v="Registered"/>
    <s v="1.6"/>
    <s v="Front Wheel"/>
    <s v="Lagos"/>
    <n v="5"/>
    <n v="4"/>
    <n v="110"/>
    <s v="Station Wagon"/>
    <s v="Petrol"/>
    <x v="2"/>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2"/>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2"/>
  </r>
  <r>
    <n v="3249"/>
    <s v="Mercedes-Benz C180 2001 Blue"/>
    <n v="1785000"/>
    <x v="1"/>
    <s v="Mararaba"/>
    <x v="3"/>
    <s v="C180"/>
    <n v="2001"/>
    <x v="5"/>
    <x v="1"/>
    <n v="38518"/>
    <n v="1800"/>
    <s v="Registered"/>
    <s v="Registered"/>
    <s v=""/>
    <s v=""/>
    <s v="Niger state"/>
    <m/>
    <m/>
    <m/>
    <s v="Saloon"/>
    <s v="Petrol"/>
    <x v="2"/>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2"/>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2"/>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2"/>
  </r>
  <r>
    <n v="3315"/>
    <s v="Opel Zafira 2007 Red"/>
    <n v="2100000"/>
    <x v="0"/>
    <s v="Ibeju"/>
    <x v="30"/>
    <s v="Zafira"/>
    <n v="2007"/>
    <x v="0"/>
    <x v="1"/>
    <n v="20295"/>
    <n v="1600"/>
    <s v="Registered"/>
    <s v="Registered"/>
    <s v=""/>
    <s v=""/>
    <s v="LAGOS"/>
    <m/>
    <m/>
    <m/>
    <s v=""/>
    <s v="Petrol"/>
    <x v="2"/>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2"/>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2"/>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3"/>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3"/>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2"/>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2"/>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2"/>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2"/>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2"/>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2"/>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0"/>
    <s v="Front Wheel"/>
    <s v=""/>
    <n v="5"/>
    <n v="4"/>
    <n v="67"/>
    <s v="Hatchback"/>
    <s v="Petrol"/>
    <x v="2"/>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2"/>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2"/>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4"/>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2"/>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2"/>
  </r>
  <r>
    <n v="3555"/>
    <s v="Suzuki Grand 2006 Gray"/>
    <n v="2585000"/>
    <x v="0"/>
    <s v="VictoriaIsland"/>
    <x v="29"/>
    <s v="Grand"/>
    <n v="2006"/>
    <x v="8"/>
    <x v="1"/>
    <n v="51402"/>
    <n v="2000"/>
    <s v="Registered"/>
    <s v="Registered"/>
    <s v=""/>
    <s v=""/>
    <s v="LAGOS"/>
    <m/>
    <m/>
    <m/>
    <s v="SUV"/>
    <s v="Petrol"/>
    <x v="2"/>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2"/>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2"/>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2"/>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2"/>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3"/>
  </r>
  <r>
    <n v="3652"/>
    <s v="Toyota Corolla 2011 Black"/>
    <n v="3570000"/>
    <x v="1"/>
    <s v="Mararaba"/>
    <x v="2"/>
    <s v="Corolla"/>
    <n v="2011"/>
    <x v="2"/>
    <x v="1"/>
    <n v="18361"/>
    <n v="1800"/>
    <s v="Registered"/>
    <s v="Registered"/>
    <s v=""/>
    <s v=""/>
    <s v="Abuja"/>
    <m/>
    <m/>
    <m/>
    <s v=""/>
    <s v="Petrol"/>
    <x v="2"/>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2"/>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2"/>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2"/>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2"/>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2"/>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2"/>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2"/>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2"/>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2"/>
  </r>
  <r>
    <n v="3754"/>
    <s v="Kia Rio 1.4 2007 Silver"/>
    <n v="735000"/>
    <x v="0"/>
    <s v="Ibeju"/>
    <x v="8"/>
    <s v="Rio"/>
    <n v="2007"/>
    <x v="4"/>
    <x v="1"/>
    <n v="29865"/>
    <n v="1400"/>
    <s v="Registered"/>
    <s v="Registered"/>
    <s v="1.4"/>
    <s v="Front Wheel"/>
    <s v="LAGOS"/>
    <n v="5"/>
    <n v="4"/>
    <n v="95"/>
    <s v="Sedan"/>
    <s v="Petrol"/>
    <x v="2"/>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2"/>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2"/>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2"/>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2"/>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2"/>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2"/>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3"/>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2"/>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2"/>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2"/>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3"/>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2"/>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2"/>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2"/>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2"/>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2"/>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2"/>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2"/>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2"/>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2"/>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2"/>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2"/>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2"/>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2"/>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2"/>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3"/>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2"/>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2"/>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3"/>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2"/>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2"/>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2"/>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2"/>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2"/>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3"/>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2EDDE-141C-48DE-B853-153D5F86AEC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0:I23" firstHeaderRow="1" firstDataRow="1" firstDataCol="1"/>
  <pivotFields count="23">
    <pivotField dataField="1" showAll="0"/>
    <pivotField showAll="0"/>
    <pivotField showAll="0"/>
    <pivotField showAll="0"/>
    <pivotField showAll="0"/>
    <pivotField showAll="0" measureFilter="1"/>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0" baseItem="0" numFmtId="1"/>
  </dataFields>
  <formats count="1">
    <format dxfId="146">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4"/>
          </reference>
        </references>
      </pivotArea>
    </chartFormat>
    <chartFormat chart="0" format="2">
      <pivotArea type="data" outline="0" fieldPosition="0">
        <references count="2">
          <reference field="4294967294" count="1" selected="0">
            <x v="0"/>
          </reference>
          <reference field="22"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2" count="1" selected="0">
            <x v="2"/>
          </reference>
        </references>
      </pivotArea>
    </chartFormat>
    <chartFormat chart="1" format="5">
      <pivotArea type="data" outline="0" fieldPosition="0">
        <references count="2">
          <reference field="4294967294" count="1" selected="0">
            <x v="0"/>
          </reference>
          <reference field="22"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2" count="1" selected="0">
            <x v="2"/>
          </reference>
        </references>
      </pivotArea>
    </chartFormat>
    <chartFormat chart="2"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E21DBA-0DD9-47AD-8B4E-F40FEE9613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13"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5"/>
    </i>
    <i>
      <x v="28"/>
    </i>
    <i>
      <x v="29"/>
    </i>
    <i>
      <x v="33"/>
    </i>
    <i>
      <x v="43"/>
    </i>
    <i>
      <x v="45"/>
    </i>
    <i t="grand">
      <x/>
    </i>
  </rowItems>
  <colItems count="1">
    <i/>
  </colItems>
  <dataFields count="1">
    <dataField name="Count of Column1" fld="0" subtotal="count" baseField="0" baseItem="0" numFmtId="1"/>
  </dataFields>
  <formats count="1">
    <format dxfId="14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39B0CE-D1A1-4187-89C0-47B59FD5BA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4"/>
  </dataFields>
  <formats count="1">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00D232-D921-4BF4-9252-D053CD408E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6"/>
  </dataFields>
  <formats count="1">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F604F-B729-4288-A487-EF3A8A44A2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8:E37" firstHeaderRow="1" firstDataRow="1" firstDataCol="1"/>
  <pivotFields count="23">
    <pivotField dataField="1" showAll="0"/>
    <pivotField showAll="0"/>
    <pivotField showAll="0"/>
    <pivotField showAll="0"/>
    <pivotField showAll="0"/>
    <pivotField showAll="0" measureFilter="1"/>
    <pivotField showAll="0"/>
    <pivotField showAll="0"/>
    <pivotField axis="axisRow" showAll="0">
      <items count="21">
        <item x="19"/>
        <item x="10"/>
        <item x="2"/>
        <item x="5"/>
        <item x="11"/>
        <item x="15"/>
        <item x="9"/>
        <item x="8"/>
        <item x="3"/>
        <item x="6"/>
        <item x="12"/>
        <item x="14"/>
        <item x="16"/>
        <item x="18"/>
        <item x="13"/>
        <item x="0"/>
        <item x="4"/>
        <item x="7"/>
        <item x="1"/>
        <item x="17"/>
        <item t="default"/>
      </items>
    </pivotField>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9">
    <i>
      <x/>
    </i>
    <i>
      <x v="1"/>
    </i>
    <i>
      <x v="2"/>
    </i>
    <i>
      <x v="3"/>
    </i>
    <i>
      <x v="4"/>
    </i>
    <i>
      <x v="5"/>
    </i>
    <i>
      <x v="6"/>
    </i>
    <i>
      <x v="7"/>
    </i>
    <i>
      <x v="8"/>
    </i>
    <i>
      <x v="9"/>
    </i>
    <i>
      <x v="11"/>
    </i>
    <i>
      <x v="12"/>
    </i>
    <i>
      <x v="13"/>
    </i>
    <i>
      <x v="14"/>
    </i>
    <i>
      <x v="15"/>
    </i>
    <i>
      <x v="16"/>
    </i>
    <i>
      <x v="18"/>
    </i>
    <i>
      <x v="19"/>
    </i>
    <i t="grand">
      <x/>
    </i>
  </rowItems>
  <colItems count="1">
    <i/>
  </colItems>
  <dataFields count="1">
    <dataField name="Count of Column1" fld="0" subtotal="count" baseField="0" baseItem="0" numFmtId="1"/>
  </dataFields>
  <formats count="1">
    <format dxfId="15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93C66-6F35-437E-80CE-87B0C646A0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16"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0" numFmtId="1"/>
  </dataFields>
  <formats count="1">
    <format dxfId="151">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BAC151-7D1C-4D27-B6D7-7AAA9242DE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5"/>
  </dataFields>
  <formats count="1">
    <format dxfId="1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48AA0D-E361-4AC6-8034-41AACB3B41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1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3C33FD-401E-44D0-B502-832DC641CE8D}"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s" tableColumnId="4"/>
      <queryTableField id="5" name="Cities.1"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9CCF6A97-3245-4185-9448-B59BA95D353F}" sourceName="condition">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8"/>
  </pivotTables>
  <data>
    <tabular pivotCacheId="152013984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891936D3-6641-4B5E-8EA0-54E975435F53}" cache="Slicer_condition" caption="condition" columnCount="3" showCaption="0" style="SlicerStyleDark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8A3EE9-D88F-480A-9CC5-D19DD9CB8730}" name="car45_data" displayName="car45_data" ref="A1:W2895" tableType="queryTable" totalsRowShown="0">
  <autoFilter ref="A1:W2895" xr:uid="{C38A3EE9-D88F-480A-9CC5-D19DD9CB8730}"/>
  <tableColumns count="23">
    <tableColumn id="1" xr3:uid="{ABADC217-49F0-4FD3-97B8-3A1B12171E60}" uniqueName="1" name="Column1" queryTableFieldId="1"/>
    <tableColumn id="2" xr3:uid="{3ABC9BAA-9253-4139-81EE-25CE519E0561}" uniqueName="2" name="description" queryTableFieldId="2" dataDxfId="168"/>
    <tableColumn id="3" xr3:uid="{45002BA5-0C07-44B5-9FBC-8B20A4A9FBCC}" uniqueName="3" name="amount" queryTableFieldId="3"/>
    <tableColumn id="4" xr3:uid="{ADBA6519-247B-4B30-BA79-9A3D266BA1B0}" uniqueName="4" name="States" queryTableFieldId="4" dataDxfId="167"/>
    <tableColumn id="5" xr3:uid="{8C762D4F-0FB1-4A42-A448-5C9CC8B9D7ED}" uniqueName="5" name="Cities.1" queryTableFieldId="5" dataDxfId="166"/>
    <tableColumn id="6" xr3:uid="{28FCF73B-FA33-4F46-99BF-30A67557F1FB}" uniqueName="6" name="make" queryTableFieldId="6" dataDxfId="165"/>
    <tableColumn id="7" xr3:uid="{1085D9F4-9EE6-4E88-89A5-FFC06586D4E7}" uniqueName="7" name="model" queryTableFieldId="7" dataDxfId="164"/>
    <tableColumn id="8" xr3:uid="{4E925E62-39A9-42AB-8F54-B60F97CDE98E}" uniqueName="8" name="year_of_man" queryTableFieldId="8"/>
    <tableColumn id="9" xr3:uid="{3AA891A3-0E1D-48F5-BDFF-AD72FCB33D0E}" uniqueName="9" name="color" queryTableFieldId="9" dataDxfId="163"/>
    <tableColumn id="10" xr3:uid="{E5F3DD11-17B2-447B-ACC2-38BA1AADA6C0}" uniqueName="10" name="condition" queryTableFieldId="10" dataDxfId="162"/>
    <tableColumn id="11" xr3:uid="{0EA14347-D6B0-4C0D-AA49-06B964ED635D}" uniqueName="11" name="mileage" queryTableFieldId="11"/>
    <tableColumn id="12" xr3:uid="{288ED9CD-33EE-4967-835B-54BB0C6DC371}" uniqueName="12" name="engine_size" queryTableFieldId="12"/>
    <tableColumn id="13" xr3:uid="{8EEC84E6-EBA4-4658-B61E-165F3A96818F}" uniqueName="13" name="selling_cond" queryTableFieldId="13" dataDxfId="161"/>
    <tableColumn id="14" xr3:uid="{BBD22708-7D27-405B-9383-9E54BCCA705F}" uniqueName="14" name="bought_cond" queryTableFieldId="14" dataDxfId="160"/>
    <tableColumn id="15" xr3:uid="{D3458F1B-2A91-4109-AF78-119F987C9D5C}" uniqueName="15" name="trim" queryTableFieldId="15" dataDxfId="159"/>
    <tableColumn id="16" xr3:uid="{CC20DF7A-675C-4024-97FF-2A08623449DB}" uniqueName="16" name="drive_train" queryTableFieldId="16" dataDxfId="158"/>
    <tableColumn id="17" xr3:uid="{59B157CF-B4E2-4C69-BB94-F33B7FA38898}" uniqueName="17" name="reg_city" queryTableFieldId="17" dataDxfId="157"/>
    <tableColumn id="18" xr3:uid="{3B37680A-6ED0-41C2-A636-B04DBD7FDBA2}" uniqueName="18" name="seat" queryTableFieldId="18"/>
    <tableColumn id="19" xr3:uid="{628C17D5-91C2-4346-9A50-18FD1299D38B}" uniqueName="19" name="num_cylinder" queryTableFieldId="19"/>
    <tableColumn id="20" xr3:uid="{5B5676A3-AA8C-4775-B90B-D675C737A954}" uniqueName="20" name="horse_power" queryTableFieldId="20"/>
    <tableColumn id="21" xr3:uid="{24E45747-1EBD-4603-BFF6-09F841C87E46}" uniqueName="21" name="body_build" queryTableFieldId="21" dataDxfId="156"/>
    <tableColumn id="22" xr3:uid="{9C414190-8563-4079-B9EC-31BF8BE90161}" uniqueName="22" name="fuel_type" queryTableFieldId="22" dataDxfId="155"/>
    <tableColumn id="23" xr3:uid="{FAE1B63E-342D-4DDC-BC98-3F00A75BD675}" uniqueName="23" name="transmission" queryTableFieldId="23" dataDxfId="15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E154-7FE1-461B-A722-3E0223D37D5E}">
  <dimension ref="A1:W2895"/>
  <sheetViews>
    <sheetView workbookViewId="0">
      <selection activeCell="G1" sqref="G1:G1048576"/>
    </sheetView>
  </sheetViews>
  <sheetFormatPr defaultRowHeight="15" x14ac:dyDescent="0.25"/>
  <cols>
    <col min="1" max="1" width="11.42578125" bestFit="1" customWidth="1"/>
    <col min="2" max="2" width="55.140625" bestFit="1" customWidth="1"/>
    <col min="3" max="3" width="10.140625" bestFit="1" customWidth="1"/>
    <col min="4" max="4" width="22.42578125" bestFit="1" customWidth="1"/>
    <col min="5" max="5" width="20" bestFit="1" customWidth="1"/>
    <col min="6" max="6" width="14.42578125" bestFit="1" customWidth="1"/>
    <col min="7" max="7" width="18.7109375" bestFit="1" customWidth="1"/>
    <col min="8" max="8" width="14.5703125" bestFit="1" customWidth="1"/>
    <col min="9" max="9" width="10.140625" bestFit="1" customWidth="1"/>
    <col min="10" max="10" width="13.5703125" bestFit="1" customWidth="1"/>
    <col min="11" max="11" width="10.42578125" bestFit="1" customWidth="1"/>
    <col min="12" max="12" width="13.85546875" bestFit="1" customWidth="1"/>
    <col min="13" max="13" width="14.5703125" bestFit="1" customWidth="1"/>
    <col min="14" max="14" width="14.85546875" bestFit="1" customWidth="1"/>
    <col min="15" max="15" width="43.5703125" bestFit="1" customWidth="1"/>
    <col min="16" max="16" width="12.85546875" bestFit="1" customWidth="1"/>
    <col min="17" max="17" width="16.5703125" bestFit="1" customWidth="1"/>
    <col min="18" max="18" width="7.140625" bestFit="1" customWidth="1"/>
    <col min="19" max="19" width="15.5703125" bestFit="1" customWidth="1"/>
    <col min="20" max="20" width="14.85546875" bestFit="1" customWidth="1"/>
    <col min="21" max="21" width="20.28515625" bestFit="1" customWidth="1"/>
    <col min="22" max="22" width="11.7109375" bestFit="1" customWidth="1"/>
    <col min="23" max="23" width="1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25">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25">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25">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25">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25">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25">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25">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25">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25">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25">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25">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25">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25">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25">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25">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25">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25">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25">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25">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25">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25">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25">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25">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25">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25">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25">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25">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25">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25">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25">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25">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25">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25">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25">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25">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25">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25">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25">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25">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25">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25">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25">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25">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25">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25">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25">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25">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25">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25">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25">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25">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25">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25">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25">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25">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25">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25">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25">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25">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25">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25">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25">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25">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25">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25">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25">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25">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25">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25">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25">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25">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25">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25">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25">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25">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25">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25">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25">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25">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25">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25">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25">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25">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25">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25">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25">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25">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25">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25">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25">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25">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25">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25">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25">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25">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25">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25">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25">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25">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25">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25">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25">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25">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25">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25">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25">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25">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25">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25">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25">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25">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25">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25">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25">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25">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25">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25">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25">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25">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25">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25">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25">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25">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25">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25">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25">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25">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25">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25">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25">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25">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25">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25">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25">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25">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25">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25">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25">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25">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25">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25">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25">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25">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25">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25">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25">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25">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25">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25">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25">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25">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25">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25">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25">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25">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25">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25">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25">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25">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25">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25">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25">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25">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25">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25">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25">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25">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25">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25">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25">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25">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25">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25">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25">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25">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25">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25">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25">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25">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25">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25">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25">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25">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25">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25">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25">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25">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25">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25">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25">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25">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25">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25">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25">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25">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25">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25">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25">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25">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25">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25">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25">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25">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25">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25">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25">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25">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25">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25">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25">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25">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25">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25">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25">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25">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25">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25">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25">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25">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25">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25">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25">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25">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25">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25">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25">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25">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25">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25">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25">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25">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25">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25">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25">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25">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25">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25">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25">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25">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25">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25">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25">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25">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25">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25">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25">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25">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25">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25">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25">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25">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25">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25">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25">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25">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25">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25">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25">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25">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25">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25">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25">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25">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25">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25">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25">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25">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25">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25">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25">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25">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25">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25">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25">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25">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25">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25">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25">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25">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25">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25">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25">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25">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25">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25">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25">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25">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25">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25">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25">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25">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25">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25">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25">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25">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25">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25">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25">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25">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25">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25">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25">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25">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25">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25">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25">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25">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25">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25">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25">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25">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25">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25">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25">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25">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25">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25">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25">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25">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25">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25">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25">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25">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25">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25">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25">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25">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25">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25">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25">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25">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25">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25">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25">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25">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25">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25">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25">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25">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25">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25">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25">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25">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25">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25">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25">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25">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25">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25">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25">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25">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25">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25">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25">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25">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25">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25">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25">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25">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25">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25">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25">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25">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25">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25">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25">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25">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25">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25">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25">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25">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25">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25">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25">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25">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25">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25">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25">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25">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25">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25">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25">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25">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25">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25">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25">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25">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25">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25">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25">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25">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25">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25">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25">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25">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25">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25">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25">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25">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25">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25">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25">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25">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25">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25">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25">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25">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25">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25">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25">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25">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25">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25">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25">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25">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25">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25">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25">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25">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25">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25">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25">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25">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25">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25">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25">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25">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25">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25">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25">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25">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25">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25">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25">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25">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25">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25">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25">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25">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25">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25">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25">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25">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25">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25">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25">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25">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25">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25">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25">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25">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25">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25">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25">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25">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25">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25">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25">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25">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25">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25">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25">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25">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25">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25">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25">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25">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25">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25">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25">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25">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25">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25">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25">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25">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25">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25">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25">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25">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25">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25">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25">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25">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25">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25">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25">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25">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25">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25">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25">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25">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25">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25">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25">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25">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25">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25">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25">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25">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25">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25">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25">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25">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25">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25">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25">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25">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25">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25">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25">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25">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25">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25">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25">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25">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25">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25">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25">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25">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25">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25">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25">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25">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25">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25">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25">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25">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25">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25">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25">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25">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25">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25">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25">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25">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25">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25">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25">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25">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25">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25">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25">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25">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25">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25">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25">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25">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25">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25">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25">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25">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25">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25">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25">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25">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25">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25">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25">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874</v>
      </c>
      <c r="U560" t="s">
        <v>45</v>
      </c>
      <c r="V560" t="s">
        <v>35</v>
      </c>
      <c r="W560" t="s">
        <v>340</v>
      </c>
    </row>
    <row r="561" spans="1:23" x14ac:dyDescent="0.25">
      <c r="A561">
        <v>564</v>
      </c>
      <c r="B561" t="s">
        <v>875</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25">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25">
      <c r="A563">
        <v>566</v>
      </c>
      <c r="B563" t="s">
        <v>876</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25">
      <c r="A564">
        <v>567</v>
      </c>
      <c r="B564" t="s">
        <v>877</v>
      </c>
      <c r="C564">
        <v>2100000</v>
      </c>
      <c r="D564" t="s">
        <v>38</v>
      </c>
      <c r="E564" t="s">
        <v>52</v>
      </c>
      <c r="F564" t="s">
        <v>217</v>
      </c>
      <c r="G564" t="s">
        <v>878</v>
      </c>
      <c r="H564">
        <v>2008</v>
      </c>
      <c r="I564" t="s">
        <v>63</v>
      </c>
      <c r="J564" t="s">
        <v>43</v>
      </c>
      <c r="K564">
        <v>13771</v>
      </c>
      <c r="L564">
        <v>2500</v>
      </c>
      <c r="M564" t="s">
        <v>44</v>
      </c>
      <c r="N564" t="s">
        <v>44</v>
      </c>
      <c r="O564" t="s">
        <v>33</v>
      </c>
      <c r="P564" t="s">
        <v>33</v>
      </c>
      <c r="Q564" t="s">
        <v>55</v>
      </c>
      <c r="U564" t="s">
        <v>33</v>
      </c>
      <c r="V564" t="s">
        <v>35</v>
      </c>
      <c r="W564" t="s">
        <v>36</v>
      </c>
    </row>
    <row r="565" spans="1:23" x14ac:dyDescent="0.25">
      <c r="A565">
        <v>568</v>
      </c>
      <c r="B565" t="s">
        <v>879</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25">
      <c r="A566">
        <v>569</v>
      </c>
      <c r="B566" t="s">
        <v>880</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25">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25">
      <c r="A568">
        <v>571</v>
      </c>
      <c r="B568" t="s">
        <v>881</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25">
      <c r="A569">
        <v>572</v>
      </c>
      <c r="B569" t="s">
        <v>882</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25">
      <c r="A570">
        <v>573</v>
      </c>
      <c r="B570" t="s">
        <v>883</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25">
      <c r="A571">
        <v>574</v>
      </c>
      <c r="B571" t="s">
        <v>884</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25">
      <c r="A572">
        <v>575</v>
      </c>
      <c r="B572" t="s">
        <v>885</v>
      </c>
      <c r="C572">
        <v>2625000</v>
      </c>
      <c r="D572" t="s">
        <v>38</v>
      </c>
      <c r="E572" t="s">
        <v>86</v>
      </c>
      <c r="F572" t="s">
        <v>301</v>
      </c>
      <c r="G572" t="s">
        <v>886</v>
      </c>
      <c r="H572">
        <v>2009</v>
      </c>
      <c r="I572" t="s">
        <v>97</v>
      </c>
      <c r="J572" t="s">
        <v>43</v>
      </c>
      <c r="L572">
        <v>2200</v>
      </c>
      <c r="M572" t="s">
        <v>44</v>
      </c>
      <c r="N572" t="s">
        <v>30</v>
      </c>
      <c r="O572" t="s">
        <v>33</v>
      </c>
      <c r="P572" t="s">
        <v>33</v>
      </c>
      <c r="Q572" t="s">
        <v>423</v>
      </c>
      <c r="U572" t="s">
        <v>33</v>
      </c>
      <c r="V572" t="s">
        <v>35</v>
      </c>
      <c r="W572" t="s">
        <v>200</v>
      </c>
    </row>
    <row r="573" spans="1:23" x14ac:dyDescent="0.25">
      <c r="A573">
        <v>576</v>
      </c>
      <c r="B573" t="s">
        <v>887</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25">
      <c r="A574">
        <v>577</v>
      </c>
      <c r="B574" t="s">
        <v>888</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25">
      <c r="A575">
        <v>578</v>
      </c>
      <c r="B575" t="s">
        <v>889</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25">
      <c r="A576">
        <v>579</v>
      </c>
      <c r="B576" t="s">
        <v>890</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25">
      <c r="A577">
        <v>580</v>
      </c>
      <c r="B577" t="s">
        <v>891</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25">
      <c r="A578">
        <v>581</v>
      </c>
      <c r="B578" t="s">
        <v>892</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25">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25">
      <c r="A580">
        <v>583</v>
      </c>
      <c r="B580" t="s">
        <v>893</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25">
      <c r="A581">
        <v>584</v>
      </c>
      <c r="B581" t="s">
        <v>894</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25">
      <c r="A582">
        <v>585</v>
      </c>
      <c r="B582" t="s">
        <v>895</v>
      </c>
      <c r="C582">
        <v>3108000</v>
      </c>
      <c r="D582" t="s">
        <v>24</v>
      </c>
      <c r="E582" t="s">
        <v>25</v>
      </c>
      <c r="F582" t="s">
        <v>77</v>
      </c>
      <c r="G582" t="s">
        <v>78</v>
      </c>
      <c r="H582">
        <v>2007</v>
      </c>
      <c r="I582" t="s">
        <v>97</v>
      </c>
      <c r="J582" t="s">
        <v>43</v>
      </c>
      <c r="K582">
        <v>32013</v>
      </c>
      <c r="L582">
        <v>3700</v>
      </c>
      <c r="M582" t="s">
        <v>44</v>
      </c>
      <c r="N582" t="s">
        <v>44</v>
      </c>
      <c r="O582" t="s">
        <v>896</v>
      </c>
      <c r="P582" t="s">
        <v>73</v>
      </c>
      <c r="Q582" t="s">
        <v>74</v>
      </c>
      <c r="R582">
        <v>7</v>
      </c>
      <c r="S582">
        <v>6</v>
      </c>
      <c r="T582">
        <v>300</v>
      </c>
      <c r="U582" t="s">
        <v>45</v>
      </c>
      <c r="V582" t="s">
        <v>35</v>
      </c>
      <c r="W582" t="s">
        <v>36</v>
      </c>
    </row>
    <row r="583" spans="1:23" x14ac:dyDescent="0.25">
      <c r="A583">
        <v>586</v>
      </c>
      <c r="B583" t="s">
        <v>897</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25">
      <c r="A584">
        <v>587</v>
      </c>
      <c r="B584" t="s">
        <v>898</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25">
      <c r="A585">
        <v>588</v>
      </c>
      <c r="B585" t="s">
        <v>899</v>
      </c>
      <c r="C585">
        <v>2625000</v>
      </c>
      <c r="D585" t="s">
        <v>128</v>
      </c>
      <c r="E585" t="s">
        <v>129</v>
      </c>
      <c r="F585" t="s">
        <v>237</v>
      </c>
      <c r="G585" t="s">
        <v>900</v>
      </c>
      <c r="H585">
        <v>2011</v>
      </c>
      <c r="I585" t="s">
        <v>97</v>
      </c>
      <c r="J585" t="s">
        <v>43</v>
      </c>
      <c r="K585">
        <v>10980</v>
      </c>
      <c r="L585">
        <v>1400</v>
      </c>
      <c r="M585" t="s">
        <v>44</v>
      </c>
      <c r="N585" t="s">
        <v>84</v>
      </c>
      <c r="O585" t="s">
        <v>33</v>
      </c>
      <c r="P585" t="s">
        <v>33</v>
      </c>
      <c r="Q585" t="s">
        <v>33</v>
      </c>
      <c r="U585" t="s">
        <v>33</v>
      </c>
      <c r="V585" t="s">
        <v>35</v>
      </c>
      <c r="W585" t="s">
        <v>36</v>
      </c>
    </row>
    <row r="586" spans="1:23" x14ac:dyDescent="0.25">
      <c r="A586">
        <v>589</v>
      </c>
      <c r="B586" t="s">
        <v>901</v>
      </c>
      <c r="C586">
        <v>1785000</v>
      </c>
      <c r="D586" t="s">
        <v>38</v>
      </c>
      <c r="E586" t="s">
        <v>52</v>
      </c>
      <c r="F586" t="s">
        <v>118</v>
      </c>
      <c r="G586" t="s">
        <v>902</v>
      </c>
      <c r="H586">
        <v>2004</v>
      </c>
      <c r="I586" t="s">
        <v>97</v>
      </c>
      <c r="J586" t="s">
        <v>43</v>
      </c>
      <c r="K586">
        <v>40146</v>
      </c>
      <c r="L586">
        <v>2500</v>
      </c>
      <c r="M586" t="s">
        <v>44</v>
      </c>
      <c r="N586" t="s">
        <v>30</v>
      </c>
      <c r="O586" t="s">
        <v>33</v>
      </c>
      <c r="P586" t="s">
        <v>33</v>
      </c>
      <c r="Q586" t="s">
        <v>55</v>
      </c>
      <c r="U586" t="s">
        <v>33</v>
      </c>
      <c r="V586" t="s">
        <v>35</v>
      </c>
      <c r="W586" t="s">
        <v>36</v>
      </c>
    </row>
    <row r="587" spans="1:23" x14ac:dyDescent="0.25">
      <c r="A587">
        <v>590</v>
      </c>
      <c r="B587" t="s">
        <v>903</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25">
      <c r="A588">
        <v>591</v>
      </c>
      <c r="B588" t="s">
        <v>904</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25">
      <c r="A589">
        <v>592</v>
      </c>
      <c r="B589" t="s">
        <v>905</v>
      </c>
      <c r="C589">
        <v>1470000</v>
      </c>
      <c r="D589" t="s">
        <v>38</v>
      </c>
      <c r="E589" t="s">
        <v>242</v>
      </c>
      <c r="F589" t="s">
        <v>118</v>
      </c>
      <c r="G589" t="s">
        <v>906</v>
      </c>
      <c r="H589">
        <v>2004</v>
      </c>
      <c r="I589" t="s">
        <v>97</v>
      </c>
      <c r="J589" t="s">
        <v>43</v>
      </c>
      <c r="K589">
        <v>24623</v>
      </c>
      <c r="L589">
        <v>3000</v>
      </c>
      <c r="M589" t="s">
        <v>44</v>
      </c>
      <c r="N589" t="s">
        <v>30</v>
      </c>
      <c r="O589" t="s">
        <v>907</v>
      </c>
      <c r="P589" t="s">
        <v>73</v>
      </c>
      <c r="Q589" t="s">
        <v>87</v>
      </c>
      <c r="R589">
        <v>5</v>
      </c>
      <c r="S589">
        <v>6</v>
      </c>
      <c r="T589">
        <v>231</v>
      </c>
      <c r="U589" t="s">
        <v>45</v>
      </c>
      <c r="V589" t="s">
        <v>35</v>
      </c>
      <c r="W589" t="s">
        <v>36</v>
      </c>
    </row>
    <row r="590" spans="1:23" x14ac:dyDescent="0.25">
      <c r="A590">
        <v>593</v>
      </c>
      <c r="B590" t="s">
        <v>908</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25">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25">
      <c r="A592">
        <v>595</v>
      </c>
      <c r="B592" t="s">
        <v>909</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25">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25">
      <c r="A594">
        <v>597</v>
      </c>
      <c r="B594" t="s">
        <v>910</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25">
      <c r="A595">
        <v>598</v>
      </c>
      <c r="B595" t="s">
        <v>911</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25">
      <c r="A596">
        <v>599</v>
      </c>
      <c r="B596" t="s">
        <v>912</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25">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25">
      <c r="A598">
        <v>601</v>
      </c>
      <c r="B598" t="s">
        <v>913</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25">
      <c r="A599">
        <v>602</v>
      </c>
      <c r="B599" t="s">
        <v>914</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25">
      <c r="A600">
        <v>603</v>
      </c>
      <c r="B600" t="s">
        <v>915</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25">
      <c r="A601">
        <v>604</v>
      </c>
      <c r="B601" t="s">
        <v>916</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25">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25">
      <c r="A603">
        <v>606</v>
      </c>
      <c r="B603" t="s">
        <v>917</v>
      </c>
      <c r="C603">
        <v>2100000</v>
      </c>
      <c r="D603" t="s">
        <v>24</v>
      </c>
      <c r="E603" t="s">
        <v>150</v>
      </c>
      <c r="F603" t="s">
        <v>58</v>
      </c>
      <c r="G603" t="s">
        <v>918</v>
      </c>
      <c r="H603">
        <v>1998</v>
      </c>
      <c r="I603" t="s">
        <v>60</v>
      </c>
      <c r="J603" t="s">
        <v>43</v>
      </c>
      <c r="K603">
        <v>29509</v>
      </c>
      <c r="L603">
        <v>2000</v>
      </c>
      <c r="M603" t="s">
        <v>44</v>
      </c>
      <c r="N603" t="s">
        <v>44</v>
      </c>
      <c r="O603" t="s">
        <v>33</v>
      </c>
      <c r="P603" t="s">
        <v>33</v>
      </c>
      <c r="Q603" t="s">
        <v>74</v>
      </c>
      <c r="U603" t="s">
        <v>33</v>
      </c>
      <c r="V603" t="s">
        <v>35</v>
      </c>
      <c r="W603" t="s">
        <v>200</v>
      </c>
    </row>
    <row r="604" spans="1:23" x14ac:dyDescent="0.25">
      <c r="A604">
        <v>607</v>
      </c>
      <c r="B604" t="s">
        <v>919</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25">
      <c r="A605">
        <v>608</v>
      </c>
      <c r="B605" t="s">
        <v>920</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25">
      <c r="A606">
        <v>609</v>
      </c>
      <c r="B606" t="s">
        <v>921</v>
      </c>
      <c r="C606">
        <v>3536000</v>
      </c>
      <c r="D606" t="s">
        <v>38</v>
      </c>
      <c r="E606" t="s">
        <v>86</v>
      </c>
      <c r="F606" t="s">
        <v>48</v>
      </c>
      <c r="G606" t="s">
        <v>317</v>
      </c>
      <c r="H606">
        <v>2005</v>
      </c>
      <c r="I606" t="s">
        <v>63</v>
      </c>
      <c r="J606" t="s">
        <v>43</v>
      </c>
      <c r="K606">
        <v>32948</v>
      </c>
      <c r="L606">
        <v>2400</v>
      </c>
      <c r="M606" t="s">
        <v>44</v>
      </c>
      <c r="N606" t="s">
        <v>44</v>
      </c>
      <c r="O606" t="s">
        <v>33</v>
      </c>
      <c r="P606" t="s">
        <v>33</v>
      </c>
      <c r="Q606" t="s">
        <v>922</v>
      </c>
      <c r="U606" t="s">
        <v>199</v>
      </c>
      <c r="V606" t="s">
        <v>35</v>
      </c>
      <c r="W606" t="s">
        <v>36</v>
      </c>
    </row>
    <row r="607" spans="1:23" x14ac:dyDescent="0.25">
      <c r="A607">
        <v>610</v>
      </c>
      <c r="B607" t="s">
        <v>923</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25">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25">
      <c r="A609">
        <v>612</v>
      </c>
      <c r="B609" t="s">
        <v>924</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25">
      <c r="A610">
        <v>613</v>
      </c>
      <c r="B610" t="s">
        <v>925</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25">
      <c r="A611">
        <v>614</v>
      </c>
      <c r="B611" t="s">
        <v>926</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25">
      <c r="A612">
        <v>615</v>
      </c>
      <c r="B612" t="s">
        <v>927</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25">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25">
      <c r="A614">
        <v>617</v>
      </c>
      <c r="B614" t="s">
        <v>928</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25">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25">
      <c r="A616">
        <v>619</v>
      </c>
      <c r="B616" t="s">
        <v>929</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25">
      <c r="A617">
        <v>620</v>
      </c>
      <c r="B617" t="s">
        <v>930</v>
      </c>
      <c r="C617">
        <v>4725000</v>
      </c>
      <c r="D617" t="s">
        <v>38</v>
      </c>
      <c r="E617" t="s">
        <v>242</v>
      </c>
      <c r="F617" t="s">
        <v>58</v>
      </c>
      <c r="G617" t="s">
        <v>931</v>
      </c>
      <c r="H617">
        <v>2006</v>
      </c>
      <c r="I617" t="s">
        <v>60</v>
      </c>
      <c r="J617" t="s">
        <v>43</v>
      </c>
      <c r="K617">
        <v>79614</v>
      </c>
      <c r="L617">
        <v>3000</v>
      </c>
      <c r="M617" t="s">
        <v>44</v>
      </c>
      <c r="N617" t="s">
        <v>30</v>
      </c>
      <c r="O617" t="s">
        <v>33</v>
      </c>
      <c r="P617" t="s">
        <v>33</v>
      </c>
      <c r="Q617" t="s">
        <v>33</v>
      </c>
      <c r="U617" t="s">
        <v>932</v>
      </c>
      <c r="V617" t="s">
        <v>35</v>
      </c>
      <c r="W617" t="s">
        <v>36</v>
      </c>
    </row>
    <row r="618" spans="1:23" x14ac:dyDescent="0.25">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25">
      <c r="A619">
        <v>622</v>
      </c>
      <c r="B619" t="s">
        <v>933</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25">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25">
      <c r="A621">
        <v>624</v>
      </c>
      <c r="B621" t="s">
        <v>934</v>
      </c>
      <c r="C621">
        <v>13520000</v>
      </c>
      <c r="D621" t="s">
        <v>38</v>
      </c>
      <c r="E621" t="s">
        <v>39</v>
      </c>
      <c r="F621" t="s">
        <v>48</v>
      </c>
      <c r="G621" t="s">
        <v>373</v>
      </c>
      <c r="H621">
        <v>2014</v>
      </c>
      <c r="I621" t="s">
        <v>50</v>
      </c>
      <c r="J621" t="s">
        <v>43</v>
      </c>
      <c r="K621">
        <v>56732</v>
      </c>
      <c r="L621">
        <v>4000</v>
      </c>
      <c r="M621" t="s">
        <v>44</v>
      </c>
      <c r="N621" t="s">
        <v>30</v>
      </c>
      <c r="O621" t="s">
        <v>935</v>
      </c>
      <c r="P621" t="s">
        <v>73</v>
      </c>
      <c r="Q621" t="s">
        <v>936</v>
      </c>
      <c r="R621">
        <v>5</v>
      </c>
      <c r="S621">
        <v>6</v>
      </c>
      <c r="T621">
        <v>270</v>
      </c>
      <c r="U621" t="s">
        <v>45</v>
      </c>
      <c r="V621" t="s">
        <v>35</v>
      </c>
      <c r="W621" t="s">
        <v>36</v>
      </c>
    </row>
    <row r="622" spans="1:23" x14ac:dyDescent="0.25">
      <c r="A622">
        <v>625</v>
      </c>
      <c r="B622" t="s">
        <v>937</v>
      </c>
      <c r="C622">
        <v>16800000</v>
      </c>
      <c r="D622" t="s">
        <v>38</v>
      </c>
      <c r="E622" t="s">
        <v>242</v>
      </c>
      <c r="F622" t="s">
        <v>716</v>
      </c>
      <c r="G622" t="s">
        <v>938</v>
      </c>
      <c r="H622">
        <v>2021</v>
      </c>
      <c r="I622" t="s">
        <v>42</v>
      </c>
      <c r="J622" t="s">
        <v>710</v>
      </c>
      <c r="K622">
        <v>56724</v>
      </c>
      <c r="L622">
        <v>1900</v>
      </c>
      <c r="M622" t="s">
        <v>84</v>
      </c>
      <c r="N622" t="s">
        <v>84</v>
      </c>
      <c r="O622" t="s">
        <v>33</v>
      </c>
      <c r="P622" t="s">
        <v>33</v>
      </c>
      <c r="Q622" t="s">
        <v>33</v>
      </c>
      <c r="U622" t="s">
        <v>398</v>
      </c>
      <c r="V622" t="s">
        <v>35</v>
      </c>
      <c r="W622" t="s">
        <v>200</v>
      </c>
    </row>
    <row r="623" spans="1:23" x14ac:dyDescent="0.25">
      <c r="A623">
        <v>626</v>
      </c>
      <c r="B623" t="s">
        <v>939</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25">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25">
      <c r="A625">
        <v>628</v>
      </c>
      <c r="B625" t="s">
        <v>940</v>
      </c>
      <c r="C625">
        <v>4316000</v>
      </c>
      <c r="D625" t="s">
        <v>24</v>
      </c>
      <c r="E625" t="s">
        <v>25</v>
      </c>
      <c r="F625" t="s">
        <v>107</v>
      </c>
      <c r="G625" t="s">
        <v>112</v>
      </c>
      <c r="H625">
        <v>2009</v>
      </c>
      <c r="I625" t="s">
        <v>97</v>
      </c>
      <c r="J625" t="s">
        <v>43</v>
      </c>
      <c r="K625">
        <v>17446</v>
      </c>
      <c r="L625">
        <v>3500</v>
      </c>
      <c r="M625" t="s">
        <v>44</v>
      </c>
      <c r="N625" t="s">
        <v>84</v>
      </c>
      <c r="O625" t="s">
        <v>941</v>
      </c>
      <c r="P625" t="s">
        <v>73</v>
      </c>
      <c r="Q625" t="s">
        <v>74</v>
      </c>
      <c r="R625">
        <v>8</v>
      </c>
      <c r="S625">
        <v>6</v>
      </c>
      <c r="T625">
        <v>253</v>
      </c>
      <c r="U625" t="s">
        <v>45</v>
      </c>
      <c r="V625" t="s">
        <v>35</v>
      </c>
      <c r="W625" t="s">
        <v>36</v>
      </c>
    </row>
    <row r="626" spans="1:23" x14ac:dyDescent="0.25">
      <c r="A626">
        <v>629</v>
      </c>
      <c r="B626" t="s">
        <v>942</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25">
      <c r="A627">
        <v>630</v>
      </c>
      <c r="B627" t="s">
        <v>943</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25">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25">
      <c r="A629">
        <v>632</v>
      </c>
      <c r="B629" t="s">
        <v>944</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25">
      <c r="A630">
        <v>633</v>
      </c>
      <c r="B630" t="s">
        <v>945</v>
      </c>
      <c r="C630">
        <v>2288000</v>
      </c>
      <c r="D630" t="s">
        <v>38</v>
      </c>
      <c r="E630" t="s">
        <v>62</v>
      </c>
      <c r="F630" t="s">
        <v>58</v>
      </c>
      <c r="G630" t="s">
        <v>946</v>
      </c>
      <c r="H630">
        <v>2003</v>
      </c>
      <c r="I630" t="s">
        <v>60</v>
      </c>
      <c r="J630" t="s">
        <v>43</v>
      </c>
      <c r="K630">
        <v>22779</v>
      </c>
      <c r="L630">
        <v>2600</v>
      </c>
      <c r="M630" t="s">
        <v>44</v>
      </c>
      <c r="N630" t="s">
        <v>44</v>
      </c>
      <c r="O630" t="s">
        <v>33</v>
      </c>
      <c r="P630" t="s">
        <v>33</v>
      </c>
      <c r="Q630" t="s">
        <v>33</v>
      </c>
      <c r="U630" t="s">
        <v>33</v>
      </c>
      <c r="V630" t="s">
        <v>35</v>
      </c>
      <c r="W630" t="s">
        <v>36</v>
      </c>
    </row>
    <row r="631" spans="1:23" x14ac:dyDescent="0.25">
      <c r="A631">
        <v>634</v>
      </c>
      <c r="B631" t="s">
        <v>947</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25">
      <c r="A632">
        <v>635</v>
      </c>
      <c r="B632" t="s">
        <v>948</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25">
      <c r="A633">
        <v>636</v>
      </c>
      <c r="B633" t="s">
        <v>949</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25">
      <c r="A634">
        <v>637</v>
      </c>
      <c r="B634" t="s">
        <v>950</v>
      </c>
      <c r="C634">
        <v>9975000</v>
      </c>
      <c r="D634" t="s">
        <v>24</v>
      </c>
      <c r="E634" t="s">
        <v>212</v>
      </c>
      <c r="F634" t="s">
        <v>48</v>
      </c>
      <c r="G634" t="s">
        <v>49</v>
      </c>
      <c r="H634">
        <v>2013</v>
      </c>
      <c r="I634" t="s">
        <v>97</v>
      </c>
      <c r="J634" t="s">
        <v>43</v>
      </c>
      <c r="K634">
        <v>11755</v>
      </c>
      <c r="L634">
        <v>5700</v>
      </c>
      <c r="M634" t="s">
        <v>44</v>
      </c>
      <c r="N634" t="s">
        <v>30</v>
      </c>
      <c r="O634" t="s">
        <v>951</v>
      </c>
      <c r="P634" t="s">
        <v>33</v>
      </c>
      <c r="Q634" t="s">
        <v>74</v>
      </c>
      <c r="S634">
        <v>8</v>
      </c>
      <c r="U634" t="s">
        <v>45</v>
      </c>
      <c r="V634" t="s">
        <v>35</v>
      </c>
      <c r="W634" t="s">
        <v>36</v>
      </c>
    </row>
    <row r="635" spans="1:23" x14ac:dyDescent="0.25">
      <c r="A635">
        <v>638</v>
      </c>
      <c r="B635" t="s">
        <v>952</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25">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25">
      <c r="A637">
        <v>640</v>
      </c>
      <c r="B637" t="s">
        <v>953</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25">
      <c r="A638">
        <v>641</v>
      </c>
      <c r="B638" t="s">
        <v>954</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25">
      <c r="A639">
        <v>642</v>
      </c>
      <c r="B639" t="s">
        <v>955</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25">
      <c r="A640">
        <v>643</v>
      </c>
      <c r="B640" t="s">
        <v>956</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25">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25">
      <c r="A642">
        <v>645</v>
      </c>
      <c r="B642" t="s">
        <v>957</v>
      </c>
      <c r="C642">
        <v>1680000</v>
      </c>
      <c r="D642" t="s">
        <v>24</v>
      </c>
      <c r="E642" t="s">
        <v>268</v>
      </c>
      <c r="F642" t="s">
        <v>237</v>
      </c>
      <c r="G642" t="s">
        <v>900</v>
      </c>
      <c r="H642">
        <v>2016</v>
      </c>
      <c r="I642" t="s">
        <v>50</v>
      </c>
      <c r="J642" t="s">
        <v>43</v>
      </c>
      <c r="K642">
        <v>76315</v>
      </c>
      <c r="L642">
        <v>1400</v>
      </c>
      <c r="M642" t="s">
        <v>44</v>
      </c>
      <c r="N642" t="s">
        <v>44</v>
      </c>
      <c r="O642" t="s">
        <v>33</v>
      </c>
      <c r="P642" t="s">
        <v>33</v>
      </c>
      <c r="Q642" t="s">
        <v>74</v>
      </c>
      <c r="U642" t="s">
        <v>33</v>
      </c>
      <c r="V642" t="s">
        <v>35</v>
      </c>
      <c r="W642" t="s">
        <v>200</v>
      </c>
    </row>
    <row r="643" spans="1:23" x14ac:dyDescent="0.25">
      <c r="A643">
        <v>646</v>
      </c>
      <c r="B643" t="s">
        <v>958</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25">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959</v>
      </c>
      <c r="U644" t="s">
        <v>33</v>
      </c>
      <c r="V644" t="s">
        <v>35</v>
      </c>
      <c r="W644" t="s">
        <v>36</v>
      </c>
    </row>
    <row r="645" spans="1:23" x14ac:dyDescent="0.25">
      <c r="A645">
        <v>648</v>
      </c>
      <c r="B645" t="s">
        <v>960</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25">
      <c r="A646">
        <v>649</v>
      </c>
      <c r="B646" t="s">
        <v>961</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25">
      <c r="A647">
        <v>650</v>
      </c>
      <c r="B647" t="s">
        <v>962</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25">
      <c r="A648">
        <v>651</v>
      </c>
      <c r="B648" t="s">
        <v>963</v>
      </c>
      <c r="C648">
        <v>12075000</v>
      </c>
      <c r="D648" t="s">
        <v>24</v>
      </c>
      <c r="E648" t="s">
        <v>25</v>
      </c>
      <c r="F648" t="s">
        <v>478</v>
      </c>
      <c r="G648" t="s">
        <v>964</v>
      </c>
      <c r="H648">
        <v>2011</v>
      </c>
      <c r="I648" t="s">
        <v>60</v>
      </c>
      <c r="J648" t="s">
        <v>43</v>
      </c>
      <c r="K648">
        <v>14587</v>
      </c>
      <c r="L648">
        <v>5600</v>
      </c>
      <c r="M648" t="s">
        <v>44</v>
      </c>
      <c r="N648" t="s">
        <v>30</v>
      </c>
      <c r="O648" t="s">
        <v>33</v>
      </c>
      <c r="P648" t="s">
        <v>33</v>
      </c>
      <c r="Q648" t="s">
        <v>74</v>
      </c>
      <c r="U648" t="s">
        <v>45</v>
      </c>
      <c r="V648" t="s">
        <v>35</v>
      </c>
      <c r="W648" t="s">
        <v>36</v>
      </c>
    </row>
    <row r="649" spans="1:23" x14ac:dyDescent="0.25">
      <c r="A649">
        <v>652</v>
      </c>
      <c r="B649" t="s">
        <v>965</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25">
      <c r="A650">
        <v>653</v>
      </c>
      <c r="B650" t="s">
        <v>966</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25">
      <c r="A651">
        <v>654</v>
      </c>
      <c r="B651" t="s">
        <v>967</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25">
      <c r="A652">
        <v>655</v>
      </c>
      <c r="B652" t="s">
        <v>968</v>
      </c>
      <c r="C652">
        <v>2835000</v>
      </c>
      <c r="D652" t="s">
        <v>38</v>
      </c>
      <c r="E652" t="s">
        <v>92</v>
      </c>
      <c r="F652" t="s">
        <v>969</v>
      </c>
      <c r="G652" t="s">
        <v>970</v>
      </c>
      <c r="H652">
        <v>2007</v>
      </c>
      <c r="I652" t="s">
        <v>50</v>
      </c>
      <c r="J652" t="s">
        <v>43</v>
      </c>
      <c r="K652">
        <v>30223</v>
      </c>
      <c r="L652">
        <v>5700</v>
      </c>
      <c r="M652" t="s">
        <v>44</v>
      </c>
      <c r="N652" t="s">
        <v>44</v>
      </c>
      <c r="O652" t="s">
        <v>33</v>
      </c>
      <c r="P652" t="s">
        <v>33</v>
      </c>
      <c r="Q652" t="s">
        <v>55</v>
      </c>
      <c r="U652" t="s">
        <v>33</v>
      </c>
      <c r="V652" t="s">
        <v>35</v>
      </c>
      <c r="W652" t="s">
        <v>36</v>
      </c>
    </row>
    <row r="653" spans="1:23" x14ac:dyDescent="0.25">
      <c r="A653">
        <v>656</v>
      </c>
      <c r="B653" t="s">
        <v>971</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25">
      <c r="A654">
        <v>657</v>
      </c>
      <c r="B654" t="s">
        <v>972</v>
      </c>
      <c r="C654">
        <v>2080000</v>
      </c>
      <c r="D654" t="s">
        <v>38</v>
      </c>
      <c r="E654" t="s">
        <v>86</v>
      </c>
      <c r="F654" t="s">
        <v>301</v>
      </c>
      <c r="G654" t="s">
        <v>973</v>
      </c>
      <c r="H654">
        <v>2004</v>
      </c>
      <c r="I654" t="s">
        <v>97</v>
      </c>
      <c r="J654" t="s">
        <v>43</v>
      </c>
      <c r="L654">
        <v>1800</v>
      </c>
      <c r="M654" t="s">
        <v>44</v>
      </c>
      <c r="N654" t="s">
        <v>44</v>
      </c>
      <c r="O654" t="s">
        <v>33</v>
      </c>
      <c r="P654" t="s">
        <v>33</v>
      </c>
      <c r="Q654" t="s">
        <v>87</v>
      </c>
      <c r="U654" t="s">
        <v>33</v>
      </c>
      <c r="V654" t="s">
        <v>35</v>
      </c>
      <c r="W654" t="s">
        <v>200</v>
      </c>
    </row>
    <row r="655" spans="1:23" x14ac:dyDescent="0.25">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25">
      <c r="A656">
        <v>659</v>
      </c>
      <c r="B656" t="s">
        <v>974</v>
      </c>
      <c r="C656">
        <v>2100000</v>
      </c>
      <c r="D656" t="s">
        <v>24</v>
      </c>
      <c r="E656" t="s">
        <v>311</v>
      </c>
      <c r="F656" t="s">
        <v>969</v>
      </c>
      <c r="G656" t="s">
        <v>975</v>
      </c>
      <c r="H656">
        <v>2007</v>
      </c>
      <c r="I656" t="s">
        <v>28</v>
      </c>
      <c r="J656" t="s">
        <v>43</v>
      </c>
      <c r="K656">
        <v>16757</v>
      </c>
      <c r="L656">
        <v>2400</v>
      </c>
      <c r="M656" t="s">
        <v>44</v>
      </c>
      <c r="N656" t="s">
        <v>44</v>
      </c>
      <c r="O656" t="s">
        <v>33</v>
      </c>
      <c r="P656" t="s">
        <v>33</v>
      </c>
      <c r="Q656" t="s">
        <v>24</v>
      </c>
      <c r="U656" t="s">
        <v>33</v>
      </c>
      <c r="V656" t="s">
        <v>35</v>
      </c>
      <c r="W656" t="s">
        <v>36</v>
      </c>
    </row>
    <row r="657" spans="1:23" x14ac:dyDescent="0.25">
      <c r="A657">
        <v>660</v>
      </c>
      <c r="B657" t="s">
        <v>976</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25">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25">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25">
      <c r="A660">
        <v>663</v>
      </c>
      <c r="B660" t="s">
        <v>977</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25">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25">
      <c r="A662">
        <v>665</v>
      </c>
      <c r="B662" t="s">
        <v>978</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25">
      <c r="A663">
        <v>666</v>
      </c>
      <c r="B663" t="s">
        <v>979</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25">
      <c r="A664">
        <v>667</v>
      </c>
      <c r="B664" t="s">
        <v>980</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25">
      <c r="A665">
        <v>668</v>
      </c>
      <c r="B665" t="s">
        <v>981</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25">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25">
      <c r="A667">
        <v>670</v>
      </c>
      <c r="B667" t="s">
        <v>982</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25">
      <c r="A668">
        <v>671</v>
      </c>
      <c r="B668" t="s">
        <v>983</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984</v>
      </c>
      <c r="V668" t="s">
        <v>35</v>
      </c>
      <c r="W668" t="s">
        <v>200</v>
      </c>
    </row>
    <row r="669" spans="1:23" x14ac:dyDescent="0.25">
      <c r="A669">
        <v>672</v>
      </c>
      <c r="B669" t="s">
        <v>985</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25">
      <c r="A670">
        <v>673</v>
      </c>
      <c r="B670" t="s">
        <v>986</v>
      </c>
      <c r="C670">
        <v>2310000</v>
      </c>
      <c r="D670" t="s">
        <v>128</v>
      </c>
      <c r="E670" t="s">
        <v>129</v>
      </c>
      <c r="F670" t="s">
        <v>107</v>
      </c>
      <c r="G670" t="s">
        <v>987</v>
      </c>
      <c r="H670">
        <v>2006</v>
      </c>
      <c r="I670" t="s">
        <v>60</v>
      </c>
      <c r="J670" t="s">
        <v>43</v>
      </c>
      <c r="K670">
        <v>33832</v>
      </c>
      <c r="L670">
        <v>3500</v>
      </c>
      <c r="M670" t="s">
        <v>44</v>
      </c>
      <c r="N670" t="s">
        <v>30</v>
      </c>
      <c r="O670" t="s">
        <v>988</v>
      </c>
      <c r="P670" t="s">
        <v>32</v>
      </c>
      <c r="Q670" t="s">
        <v>33</v>
      </c>
      <c r="R670">
        <v>8</v>
      </c>
      <c r="S670">
        <v>6</v>
      </c>
      <c r="T670">
        <v>247</v>
      </c>
      <c r="U670" t="s">
        <v>250</v>
      </c>
      <c r="V670" t="s">
        <v>35</v>
      </c>
      <c r="W670" t="s">
        <v>36</v>
      </c>
    </row>
    <row r="671" spans="1:23" x14ac:dyDescent="0.25">
      <c r="A671">
        <v>674</v>
      </c>
      <c r="B671" t="s">
        <v>989</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25">
      <c r="A672">
        <v>675</v>
      </c>
      <c r="B672" t="s">
        <v>990</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25">
      <c r="A673">
        <v>676</v>
      </c>
      <c r="B673" t="s">
        <v>991</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25">
      <c r="A674">
        <v>677</v>
      </c>
      <c r="B674" t="s">
        <v>992</v>
      </c>
      <c r="C674">
        <v>75600000</v>
      </c>
      <c r="D674" t="s">
        <v>24</v>
      </c>
      <c r="E674" t="s">
        <v>276</v>
      </c>
      <c r="F674" t="s">
        <v>118</v>
      </c>
      <c r="G674" t="s">
        <v>993</v>
      </c>
      <c r="H674">
        <v>2019</v>
      </c>
      <c r="I674" t="s">
        <v>42</v>
      </c>
      <c r="J674" t="s">
        <v>29</v>
      </c>
      <c r="K674">
        <v>45134</v>
      </c>
      <c r="L674">
        <v>2000</v>
      </c>
      <c r="M674" t="s">
        <v>30</v>
      </c>
      <c r="N674" t="s">
        <v>30</v>
      </c>
      <c r="O674" t="s">
        <v>33</v>
      </c>
      <c r="P674" t="s">
        <v>33</v>
      </c>
      <c r="Q674" t="s">
        <v>33</v>
      </c>
      <c r="U674" t="s">
        <v>590</v>
      </c>
      <c r="V674" t="s">
        <v>35</v>
      </c>
      <c r="W674" t="s">
        <v>36</v>
      </c>
    </row>
    <row r="675" spans="1:23" x14ac:dyDescent="0.25">
      <c r="A675">
        <v>678</v>
      </c>
      <c r="B675" t="s">
        <v>994</v>
      </c>
      <c r="C675">
        <v>3097500</v>
      </c>
      <c r="D675" t="s">
        <v>24</v>
      </c>
      <c r="E675" t="s">
        <v>47</v>
      </c>
      <c r="F675" t="s">
        <v>69</v>
      </c>
      <c r="G675" t="s">
        <v>995</v>
      </c>
      <c r="H675">
        <v>2014</v>
      </c>
      <c r="I675" t="s">
        <v>50</v>
      </c>
      <c r="J675" t="s">
        <v>43</v>
      </c>
      <c r="K675">
        <v>46349</v>
      </c>
      <c r="L675">
        <v>1500</v>
      </c>
      <c r="M675" t="s">
        <v>44</v>
      </c>
      <c r="N675" t="s">
        <v>44</v>
      </c>
      <c r="O675" t="s">
        <v>33</v>
      </c>
      <c r="P675" t="s">
        <v>33</v>
      </c>
      <c r="Q675" t="s">
        <v>74</v>
      </c>
      <c r="U675" t="s">
        <v>45</v>
      </c>
      <c r="V675" t="s">
        <v>35</v>
      </c>
      <c r="W675" t="s">
        <v>36</v>
      </c>
    </row>
    <row r="676" spans="1:23" x14ac:dyDescent="0.25">
      <c r="A676">
        <v>679</v>
      </c>
      <c r="B676" t="s">
        <v>996</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25">
      <c r="A677">
        <v>680</v>
      </c>
      <c r="B677" t="s">
        <v>997</v>
      </c>
      <c r="C677">
        <v>1365000</v>
      </c>
      <c r="D677" t="s">
        <v>101</v>
      </c>
      <c r="E677" t="s">
        <v>102</v>
      </c>
      <c r="F677" t="s">
        <v>998</v>
      </c>
      <c r="G677" t="s">
        <v>999</v>
      </c>
      <c r="H677">
        <v>2004</v>
      </c>
      <c r="I677" t="s">
        <v>60</v>
      </c>
      <c r="J677" t="s">
        <v>43</v>
      </c>
      <c r="K677">
        <v>23861</v>
      </c>
      <c r="L677">
        <v>2000</v>
      </c>
      <c r="M677" t="s">
        <v>44</v>
      </c>
      <c r="N677" t="s">
        <v>44</v>
      </c>
      <c r="O677" t="s">
        <v>33</v>
      </c>
      <c r="P677" t="s">
        <v>33</v>
      </c>
      <c r="Q677" t="s">
        <v>33</v>
      </c>
      <c r="U677" t="s">
        <v>33</v>
      </c>
      <c r="V677" t="s">
        <v>35</v>
      </c>
      <c r="W677" t="s">
        <v>36</v>
      </c>
    </row>
    <row r="678" spans="1:23" x14ac:dyDescent="0.25">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25">
      <c r="A679">
        <v>682</v>
      </c>
      <c r="B679" t="s">
        <v>1000</v>
      </c>
      <c r="C679">
        <v>6615000</v>
      </c>
      <c r="D679" t="s">
        <v>157</v>
      </c>
      <c r="E679" t="s">
        <v>158</v>
      </c>
      <c r="F679" t="s">
        <v>58</v>
      </c>
      <c r="G679" t="s">
        <v>1001</v>
      </c>
      <c r="H679">
        <v>2015</v>
      </c>
      <c r="I679" t="s">
        <v>42</v>
      </c>
      <c r="J679" t="s">
        <v>43</v>
      </c>
      <c r="K679">
        <v>76382</v>
      </c>
      <c r="L679">
        <v>1800</v>
      </c>
      <c r="M679" t="s">
        <v>44</v>
      </c>
      <c r="N679" t="s">
        <v>44</v>
      </c>
      <c r="O679" t="s">
        <v>33</v>
      </c>
      <c r="P679" t="s">
        <v>33</v>
      </c>
      <c r="Q679" t="s">
        <v>1002</v>
      </c>
      <c r="U679" t="s">
        <v>33</v>
      </c>
      <c r="V679" t="s">
        <v>35</v>
      </c>
      <c r="W679" t="s">
        <v>36</v>
      </c>
    </row>
    <row r="680" spans="1:23" x14ac:dyDescent="0.25">
      <c r="A680">
        <v>683</v>
      </c>
      <c r="B680" t="s">
        <v>1003</v>
      </c>
      <c r="C680">
        <v>1890000</v>
      </c>
      <c r="D680" t="s">
        <v>337</v>
      </c>
      <c r="E680" t="s">
        <v>338</v>
      </c>
      <c r="F680" t="s">
        <v>48</v>
      </c>
      <c r="G680" t="s">
        <v>93</v>
      </c>
      <c r="H680">
        <v>2000</v>
      </c>
      <c r="I680" t="s">
        <v>185</v>
      </c>
      <c r="J680" t="s">
        <v>43</v>
      </c>
      <c r="K680">
        <v>15657</v>
      </c>
      <c r="L680">
        <v>3000</v>
      </c>
      <c r="M680" t="s">
        <v>44</v>
      </c>
      <c r="N680" t="s">
        <v>44</v>
      </c>
      <c r="O680" t="s">
        <v>1004</v>
      </c>
      <c r="P680" t="s">
        <v>32</v>
      </c>
      <c r="Q680" t="s">
        <v>87</v>
      </c>
      <c r="R680">
        <v>5</v>
      </c>
      <c r="S680">
        <v>6</v>
      </c>
      <c r="T680">
        <v>210</v>
      </c>
      <c r="U680" t="s">
        <v>34</v>
      </c>
      <c r="V680" t="s">
        <v>35</v>
      </c>
      <c r="W680" t="s">
        <v>36</v>
      </c>
    </row>
    <row r="681" spans="1:23" x14ac:dyDescent="0.25">
      <c r="A681">
        <v>684</v>
      </c>
      <c r="B681" t="s">
        <v>1005</v>
      </c>
      <c r="C681">
        <v>3150000</v>
      </c>
      <c r="D681" t="s">
        <v>157</v>
      </c>
      <c r="E681" t="s">
        <v>158</v>
      </c>
      <c r="F681" t="s">
        <v>118</v>
      </c>
      <c r="G681" t="s">
        <v>906</v>
      </c>
      <c r="H681">
        <v>2005</v>
      </c>
      <c r="I681" t="s">
        <v>145</v>
      </c>
      <c r="J681" t="s">
        <v>43</v>
      </c>
      <c r="K681">
        <v>21841</v>
      </c>
      <c r="L681">
        <v>2500</v>
      </c>
      <c r="M681" t="s">
        <v>44</v>
      </c>
      <c r="N681" t="s">
        <v>30</v>
      </c>
      <c r="O681" t="s">
        <v>1006</v>
      </c>
      <c r="P681" t="s">
        <v>73</v>
      </c>
      <c r="Q681" t="s">
        <v>55</v>
      </c>
      <c r="R681">
        <v>5</v>
      </c>
      <c r="S681">
        <v>6</v>
      </c>
      <c r="T681">
        <v>218</v>
      </c>
      <c r="U681" t="s">
        <v>45</v>
      </c>
      <c r="V681" t="s">
        <v>35</v>
      </c>
      <c r="W681" t="s">
        <v>36</v>
      </c>
    </row>
    <row r="682" spans="1:23" x14ac:dyDescent="0.25">
      <c r="A682">
        <v>685</v>
      </c>
      <c r="B682" t="s">
        <v>1007</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25">
      <c r="A683">
        <v>686</v>
      </c>
      <c r="B683" t="s">
        <v>1008</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25">
      <c r="A684">
        <v>687</v>
      </c>
      <c r="B684" t="s">
        <v>1009</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25">
      <c r="A685">
        <v>688</v>
      </c>
      <c r="B685" t="s">
        <v>1010</v>
      </c>
      <c r="C685">
        <v>1995000</v>
      </c>
      <c r="D685" t="s">
        <v>24</v>
      </c>
      <c r="E685" t="s">
        <v>99</v>
      </c>
      <c r="F685" t="s">
        <v>69</v>
      </c>
      <c r="G685" t="s">
        <v>1011</v>
      </c>
      <c r="H685">
        <v>2007</v>
      </c>
      <c r="I685" t="s">
        <v>50</v>
      </c>
      <c r="J685" t="s">
        <v>43</v>
      </c>
      <c r="K685">
        <v>36572</v>
      </c>
      <c r="L685">
        <v>5400</v>
      </c>
      <c r="M685" t="s">
        <v>44</v>
      </c>
      <c r="N685" t="s">
        <v>44</v>
      </c>
      <c r="O685" t="s">
        <v>1012</v>
      </c>
      <c r="P685" t="s">
        <v>73</v>
      </c>
      <c r="Q685" t="s">
        <v>24</v>
      </c>
      <c r="R685">
        <v>6</v>
      </c>
      <c r="S685">
        <v>8</v>
      </c>
      <c r="T685">
        <v>234</v>
      </c>
      <c r="U685" t="s">
        <v>610</v>
      </c>
      <c r="V685" t="s">
        <v>35</v>
      </c>
      <c r="W685" t="s">
        <v>36</v>
      </c>
    </row>
    <row r="686" spans="1:23" x14ac:dyDescent="0.25">
      <c r="A686">
        <v>689</v>
      </c>
      <c r="B686" t="s">
        <v>1013</v>
      </c>
      <c r="C686">
        <v>1995000</v>
      </c>
      <c r="D686" t="s">
        <v>24</v>
      </c>
      <c r="E686" t="s">
        <v>99</v>
      </c>
      <c r="F686" t="s">
        <v>118</v>
      </c>
      <c r="G686" t="s">
        <v>1014</v>
      </c>
      <c r="H686">
        <v>2008</v>
      </c>
      <c r="I686" t="s">
        <v>42</v>
      </c>
      <c r="J686" t="s">
        <v>43</v>
      </c>
      <c r="L686">
        <v>3000</v>
      </c>
      <c r="M686" t="s">
        <v>44</v>
      </c>
      <c r="N686" t="s">
        <v>44</v>
      </c>
      <c r="O686" t="s">
        <v>33</v>
      </c>
      <c r="P686" t="s">
        <v>33</v>
      </c>
      <c r="Q686" t="s">
        <v>24</v>
      </c>
      <c r="U686" t="s">
        <v>33</v>
      </c>
      <c r="V686" t="s">
        <v>35</v>
      </c>
      <c r="W686" t="s">
        <v>36</v>
      </c>
    </row>
    <row r="687" spans="1:23" x14ac:dyDescent="0.25">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25">
      <c r="A688">
        <v>691</v>
      </c>
      <c r="B688" t="s">
        <v>1015</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25">
      <c r="A689">
        <v>692</v>
      </c>
      <c r="B689" t="s">
        <v>1016</v>
      </c>
      <c r="C689">
        <v>787500</v>
      </c>
      <c r="D689" t="s">
        <v>101</v>
      </c>
      <c r="E689" t="s">
        <v>102</v>
      </c>
      <c r="F689" t="s">
        <v>202</v>
      </c>
      <c r="G689" t="s">
        <v>1017</v>
      </c>
      <c r="H689">
        <v>1998</v>
      </c>
      <c r="I689" t="s">
        <v>97</v>
      </c>
      <c r="J689" t="s">
        <v>43</v>
      </c>
      <c r="K689">
        <v>19478</v>
      </c>
      <c r="L689">
        <v>1600</v>
      </c>
      <c r="M689" t="s">
        <v>44</v>
      </c>
      <c r="N689" t="s">
        <v>44</v>
      </c>
      <c r="O689" t="s">
        <v>33</v>
      </c>
      <c r="P689" t="s">
        <v>33</v>
      </c>
      <c r="Q689" t="s">
        <v>33</v>
      </c>
      <c r="U689" t="s">
        <v>33</v>
      </c>
      <c r="V689" t="s">
        <v>35</v>
      </c>
      <c r="W689" t="s">
        <v>200</v>
      </c>
    </row>
    <row r="690" spans="1:23" x14ac:dyDescent="0.25">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25">
      <c r="A691">
        <v>694</v>
      </c>
      <c r="B691" t="s">
        <v>1018</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25">
      <c r="A692">
        <v>695</v>
      </c>
      <c r="B692" t="s">
        <v>1019</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25">
      <c r="A693">
        <v>696</v>
      </c>
      <c r="B693" t="s">
        <v>1020</v>
      </c>
      <c r="C693">
        <v>4888000</v>
      </c>
      <c r="D693" t="s">
        <v>24</v>
      </c>
      <c r="E693" t="s">
        <v>175</v>
      </c>
      <c r="F693" t="s">
        <v>40</v>
      </c>
      <c r="G693" t="s">
        <v>1021</v>
      </c>
      <c r="H693">
        <v>2007</v>
      </c>
      <c r="I693" t="s">
        <v>42</v>
      </c>
      <c r="J693" t="s">
        <v>43</v>
      </c>
      <c r="K693">
        <v>18179</v>
      </c>
      <c r="L693">
        <v>4400</v>
      </c>
      <c r="M693" t="s">
        <v>44</v>
      </c>
      <c r="N693" t="s">
        <v>30</v>
      </c>
      <c r="O693" t="s">
        <v>33</v>
      </c>
      <c r="P693" t="s">
        <v>33</v>
      </c>
      <c r="Q693" t="s">
        <v>33</v>
      </c>
      <c r="U693" t="s">
        <v>45</v>
      </c>
      <c r="V693" t="s">
        <v>35</v>
      </c>
      <c r="W693" t="s">
        <v>36</v>
      </c>
    </row>
    <row r="694" spans="1:23" x14ac:dyDescent="0.25">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25">
      <c r="A695">
        <v>698</v>
      </c>
      <c r="B695" t="s">
        <v>1022</v>
      </c>
      <c r="C695">
        <v>3150000</v>
      </c>
      <c r="D695" t="s">
        <v>359</v>
      </c>
      <c r="E695" t="s">
        <v>360</v>
      </c>
      <c r="F695" t="s">
        <v>58</v>
      </c>
      <c r="G695" t="s">
        <v>1023</v>
      </c>
      <c r="H695">
        <v>2008</v>
      </c>
      <c r="I695" t="s">
        <v>60</v>
      </c>
      <c r="J695" t="s">
        <v>29</v>
      </c>
      <c r="K695">
        <v>99999</v>
      </c>
      <c r="L695">
        <v>1600</v>
      </c>
      <c r="M695" t="s">
        <v>30</v>
      </c>
      <c r="N695" t="s">
        <v>30</v>
      </c>
      <c r="O695" t="s">
        <v>33</v>
      </c>
      <c r="P695" t="s">
        <v>33</v>
      </c>
      <c r="Q695" t="s">
        <v>33</v>
      </c>
      <c r="U695" t="s">
        <v>33</v>
      </c>
      <c r="V695" t="s">
        <v>35</v>
      </c>
      <c r="W695" t="s">
        <v>36</v>
      </c>
    </row>
    <row r="696" spans="1:23" x14ac:dyDescent="0.25">
      <c r="A696">
        <v>699</v>
      </c>
      <c r="B696" t="s">
        <v>1024</v>
      </c>
      <c r="C696">
        <v>2829750</v>
      </c>
      <c r="D696" t="s">
        <v>24</v>
      </c>
      <c r="E696" t="s">
        <v>212</v>
      </c>
      <c r="F696" t="s">
        <v>69</v>
      </c>
      <c r="G696" t="s">
        <v>491</v>
      </c>
      <c r="H696">
        <v>2007</v>
      </c>
      <c r="I696" t="s">
        <v>63</v>
      </c>
      <c r="J696" t="s">
        <v>43</v>
      </c>
      <c r="K696">
        <v>21178</v>
      </c>
      <c r="L696">
        <v>4000</v>
      </c>
      <c r="M696" t="s">
        <v>44</v>
      </c>
      <c r="N696" t="s">
        <v>30</v>
      </c>
      <c r="O696" t="s">
        <v>1025</v>
      </c>
      <c r="P696" t="s">
        <v>33</v>
      </c>
      <c r="Q696" t="s">
        <v>74</v>
      </c>
      <c r="S696">
        <v>6</v>
      </c>
      <c r="U696" t="s">
        <v>45</v>
      </c>
      <c r="V696" t="s">
        <v>35</v>
      </c>
      <c r="W696" t="s">
        <v>36</v>
      </c>
    </row>
    <row r="697" spans="1:23" x14ac:dyDescent="0.25">
      <c r="A697">
        <v>700</v>
      </c>
      <c r="B697" t="s">
        <v>1026</v>
      </c>
      <c r="C697">
        <v>3465000</v>
      </c>
      <c r="D697" t="s">
        <v>128</v>
      </c>
      <c r="E697" t="s">
        <v>129</v>
      </c>
      <c r="F697" t="s">
        <v>107</v>
      </c>
      <c r="G697" t="s">
        <v>1027</v>
      </c>
      <c r="H697">
        <v>2006</v>
      </c>
      <c r="I697" t="s">
        <v>28</v>
      </c>
      <c r="J697" t="s">
        <v>43</v>
      </c>
      <c r="K697">
        <v>14766</v>
      </c>
      <c r="L697">
        <v>3500</v>
      </c>
      <c r="M697" t="s">
        <v>44</v>
      </c>
      <c r="N697" t="s">
        <v>44</v>
      </c>
      <c r="O697" t="s">
        <v>33</v>
      </c>
      <c r="P697" t="s">
        <v>33</v>
      </c>
      <c r="Q697" t="s">
        <v>33</v>
      </c>
      <c r="U697" t="s">
        <v>33</v>
      </c>
      <c r="V697" t="s">
        <v>35</v>
      </c>
      <c r="W697" t="s">
        <v>36</v>
      </c>
    </row>
    <row r="698" spans="1:23" x14ac:dyDescent="0.25">
      <c r="A698">
        <v>701</v>
      </c>
      <c r="B698" t="s">
        <v>919</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25">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25">
      <c r="A700">
        <v>703</v>
      </c>
      <c r="B700" t="s">
        <v>1028</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25">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25">
      <c r="A702">
        <v>705</v>
      </c>
      <c r="B702" t="s">
        <v>1029</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25">
      <c r="A703">
        <v>706</v>
      </c>
      <c r="B703" t="s">
        <v>1030</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25">
      <c r="A704">
        <v>707</v>
      </c>
      <c r="B704" t="s">
        <v>1031</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25">
      <c r="A705">
        <v>708</v>
      </c>
      <c r="B705" t="s">
        <v>1032</v>
      </c>
      <c r="C705">
        <v>4095000</v>
      </c>
      <c r="D705" t="s">
        <v>337</v>
      </c>
      <c r="E705" t="s">
        <v>338</v>
      </c>
      <c r="F705" t="s">
        <v>202</v>
      </c>
      <c r="G705" t="s">
        <v>1033</v>
      </c>
      <c r="H705">
        <v>2008</v>
      </c>
      <c r="I705" t="s">
        <v>42</v>
      </c>
      <c r="J705" t="s">
        <v>29</v>
      </c>
      <c r="K705">
        <v>23989</v>
      </c>
      <c r="L705">
        <v>4000</v>
      </c>
      <c r="M705" t="s">
        <v>30</v>
      </c>
      <c r="N705" t="s">
        <v>30</v>
      </c>
      <c r="O705" t="s">
        <v>1034</v>
      </c>
      <c r="P705" t="s">
        <v>73</v>
      </c>
      <c r="Q705" t="s">
        <v>33</v>
      </c>
      <c r="R705">
        <v>5</v>
      </c>
      <c r="S705">
        <v>6</v>
      </c>
      <c r="T705">
        <v>265</v>
      </c>
      <c r="U705" t="s">
        <v>610</v>
      </c>
      <c r="V705" t="s">
        <v>35</v>
      </c>
      <c r="W705" t="s">
        <v>36</v>
      </c>
    </row>
    <row r="706" spans="1:23" x14ac:dyDescent="0.25">
      <c r="A706">
        <v>709</v>
      </c>
      <c r="B706" t="s">
        <v>1035</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25">
      <c r="A707">
        <v>710</v>
      </c>
      <c r="B707" t="s">
        <v>1036</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25">
      <c r="A708">
        <v>711</v>
      </c>
      <c r="B708" t="s">
        <v>1037</v>
      </c>
      <c r="C708">
        <v>42000000</v>
      </c>
      <c r="D708" t="s">
        <v>24</v>
      </c>
      <c r="E708" t="s">
        <v>784</v>
      </c>
      <c r="F708" t="s">
        <v>26</v>
      </c>
      <c r="G708" t="s">
        <v>116</v>
      </c>
      <c r="H708">
        <v>2020</v>
      </c>
      <c r="I708" t="s">
        <v>50</v>
      </c>
      <c r="J708" t="s">
        <v>43</v>
      </c>
      <c r="K708">
        <v>57024</v>
      </c>
      <c r="L708">
        <v>4600</v>
      </c>
      <c r="M708" t="s">
        <v>44</v>
      </c>
      <c r="N708" t="s">
        <v>30</v>
      </c>
      <c r="O708" t="s">
        <v>1038</v>
      </c>
      <c r="P708" t="s">
        <v>214</v>
      </c>
      <c r="Q708" t="s">
        <v>33</v>
      </c>
      <c r="R708">
        <v>7</v>
      </c>
      <c r="S708">
        <v>8</v>
      </c>
      <c r="T708">
        <v>301</v>
      </c>
      <c r="U708" t="s">
        <v>45</v>
      </c>
      <c r="V708" t="s">
        <v>35</v>
      </c>
      <c r="W708" t="s">
        <v>36</v>
      </c>
    </row>
    <row r="709" spans="1:23" x14ac:dyDescent="0.25">
      <c r="A709">
        <v>712</v>
      </c>
      <c r="B709" t="s">
        <v>1039</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25">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25">
      <c r="A711">
        <v>714</v>
      </c>
      <c r="B711" t="s">
        <v>1040</v>
      </c>
      <c r="C711">
        <v>26250000</v>
      </c>
      <c r="D711" t="s">
        <v>24</v>
      </c>
      <c r="E711" t="s">
        <v>311</v>
      </c>
      <c r="F711" t="s">
        <v>118</v>
      </c>
      <c r="G711" t="s">
        <v>906</v>
      </c>
      <c r="H711">
        <v>2013</v>
      </c>
      <c r="I711" t="s">
        <v>50</v>
      </c>
      <c r="J711" t="s">
        <v>43</v>
      </c>
      <c r="K711">
        <v>23378</v>
      </c>
      <c r="L711">
        <v>3000</v>
      </c>
      <c r="M711" t="s">
        <v>44</v>
      </c>
      <c r="N711" t="s">
        <v>44</v>
      </c>
      <c r="O711" t="s">
        <v>33</v>
      </c>
      <c r="P711" t="s">
        <v>33</v>
      </c>
      <c r="Q711" t="s">
        <v>24</v>
      </c>
      <c r="U711" t="s">
        <v>45</v>
      </c>
      <c r="V711" t="s">
        <v>35</v>
      </c>
      <c r="W711" t="s">
        <v>36</v>
      </c>
    </row>
    <row r="712" spans="1:23" x14ac:dyDescent="0.25">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25">
      <c r="A713">
        <v>716</v>
      </c>
      <c r="B713" t="s">
        <v>661</v>
      </c>
      <c r="C713">
        <v>3150000</v>
      </c>
      <c r="D713" t="s">
        <v>24</v>
      </c>
      <c r="E713" t="s">
        <v>150</v>
      </c>
      <c r="F713" t="s">
        <v>130</v>
      </c>
      <c r="G713" t="s">
        <v>343</v>
      </c>
      <c r="H713">
        <v>2014</v>
      </c>
      <c r="I713" t="s">
        <v>60</v>
      </c>
      <c r="J713" t="s">
        <v>43</v>
      </c>
      <c r="K713">
        <v>71506</v>
      </c>
      <c r="L713">
        <v>1600</v>
      </c>
      <c r="M713" t="s">
        <v>44</v>
      </c>
      <c r="N713" t="s">
        <v>44</v>
      </c>
      <c r="O713" t="s">
        <v>1041</v>
      </c>
      <c r="P713" t="s">
        <v>33</v>
      </c>
      <c r="Q713" t="s">
        <v>1042</v>
      </c>
      <c r="S713">
        <v>4</v>
      </c>
      <c r="U713" t="s">
        <v>34</v>
      </c>
      <c r="V713" t="s">
        <v>35</v>
      </c>
      <c r="W713" t="s">
        <v>200</v>
      </c>
    </row>
    <row r="714" spans="1:23" x14ac:dyDescent="0.25">
      <c r="A714">
        <v>717</v>
      </c>
      <c r="B714" t="s">
        <v>1043</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25">
      <c r="A715">
        <v>718</v>
      </c>
      <c r="B715" t="s">
        <v>1044</v>
      </c>
      <c r="C715">
        <v>15225000</v>
      </c>
      <c r="D715" t="s">
        <v>38</v>
      </c>
      <c r="E715" t="s">
        <v>92</v>
      </c>
      <c r="F715" t="s">
        <v>118</v>
      </c>
      <c r="G715" t="s">
        <v>1045</v>
      </c>
      <c r="H715">
        <v>2012</v>
      </c>
      <c r="I715" t="s">
        <v>42</v>
      </c>
      <c r="J715" t="s">
        <v>43</v>
      </c>
      <c r="K715">
        <v>14028</v>
      </c>
      <c r="L715">
        <v>4800</v>
      </c>
      <c r="M715" t="s">
        <v>44</v>
      </c>
      <c r="N715" t="s">
        <v>30</v>
      </c>
      <c r="O715" t="s">
        <v>33</v>
      </c>
      <c r="P715" t="s">
        <v>33</v>
      </c>
      <c r="Q715" t="s">
        <v>55</v>
      </c>
      <c r="U715" t="s">
        <v>33</v>
      </c>
      <c r="V715" t="s">
        <v>35</v>
      </c>
      <c r="W715" t="s">
        <v>36</v>
      </c>
    </row>
    <row r="716" spans="1:23" x14ac:dyDescent="0.25">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25">
      <c r="A717">
        <v>720</v>
      </c>
      <c r="B717" t="s">
        <v>812</v>
      </c>
      <c r="C717">
        <v>6760000</v>
      </c>
      <c r="D717" t="s">
        <v>38</v>
      </c>
      <c r="E717" t="s">
        <v>39</v>
      </c>
      <c r="F717" t="s">
        <v>237</v>
      </c>
      <c r="G717" t="s">
        <v>468</v>
      </c>
      <c r="H717">
        <v>2013</v>
      </c>
      <c r="I717" t="s">
        <v>50</v>
      </c>
      <c r="J717" t="s">
        <v>29</v>
      </c>
      <c r="K717">
        <v>28191</v>
      </c>
      <c r="L717">
        <v>1800</v>
      </c>
      <c r="M717" t="s">
        <v>30</v>
      </c>
      <c r="N717" t="s">
        <v>30</v>
      </c>
      <c r="O717" t="s">
        <v>1046</v>
      </c>
      <c r="P717" t="s">
        <v>32</v>
      </c>
      <c r="Q717" t="s">
        <v>33</v>
      </c>
      <c r="R717">
        <v>5</v>
      </c>
      <c r="S717">
        <v>4</v>
      </c>
      <c r="U717" t="s">
        <v>34</v>
      </c>
      <c r="V717" t="s">
        <v>35</v>
      </c>
      <c r="W717" t="s">
        <v>36</v>
      </c>
    </row>
    <row r="718" spans="1:23" x14ac:dyDescent="0.25">
      <c r="A718">
        <v>721</v>
      </c>
      <c r="B718" t="s">
        <v>1047</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25">
      <c r="A719">
        <v>722</v>
      </c>
      <c r="B719" t="s">
        <v>1048</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25">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25">
      <c r="A721">
        <v>724</v>
      </c>
      <c r="B721" t="s">
        <v>1049</v>
      </c>
      <c r="C721">
        <v>1953000</v>
      </c>
      <c r="D721" t="s">
        <v>24</v>
      </c>
      <c r="E721" t="s">
        <v>212</v>
      </c>
      <c r="F721" t="s">
        <v>237</v>
      </c>
      <c r="G721" t="s">
        <v>468</v>
      </c>
      <c r="H721">
        <v>2009</v>
      </c>
      <c r="I721" t="s">
        <v>50</v>
      </c>
      <c r="J721" t="s">
        <v>43</v>
      </c>
      <c r="K721">
        <v>11655</v>
      </c>
      <c r="L721">
        <v>1600</v>
      </c>
      <c r="M721" t="s">
        <v>44</v>
      </c>
      <c r="N721" t="s">
        <v>84</v>
      </c>
      <c r="O721" t="s">
        <v>1050</v>
      </c>
      <c r="P721" t="s">
        <v>32</v>
      </c>
      <c r="Q721" t="s">
        <v>371</v>
      </c>
      <c r="R721">
        <v>5</v>
      </c>
      <c r="S721">
        <v>4</v>
      </c>
      <c r="T721">
        <v>121</v>
      </c>
      <c r="U721" t="s">
        <v>34</v>
      </c>
      <c r="V721" t="s">
        <v>35</v>
      </c>
      <c r="W721" t="s">
        <v>36</v>
      </c>
    </row>
    <row r="722" spans="1:23" x14ac:dyDescent="0.25">
      <c r="A722">
        <v>725</v>
      </c>
      <c r="B722" t="s">
        <v>1051</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25">
      <c r="A723">
        <v>726</v>
      </c>
      <c r="B723" t="s">
        <v>1052</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25">
      <c r="A724">
        <v>727</v>
      </c>
      <c r="B724" t="s">
        <v>1053</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25">
      <c r="A725">
        <v>728</v>
      </c>
      <c r="B725" t="s">
        <v>1054</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25">
      <c r="A726">
        <v>729</v>
      </c>
      <c r="B726" t="s">
        <v>1055</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25">
      <c r="A727">
        <v>730</v>
      </c>
      <c r="B727" t="s">
        <v>1056</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25">
      <c r="A728">
        <v>731</v>
      </c>
      <c r="B728" t="s">
        <v>1057</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25">
      <c r="A729">
        <v>732</v>
      </c>
      <c r="B729" t="s">
        <v>1058</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25">
      <c r="A730">
        <v>733</v>
      </c>
      <c r="B730" t="s">
        <v>1059</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25">
      <c r="A731">
        <v>734</v>
      </c>
      <c r="B731" t="s">
        <v>1060</v>
      </c>
      <c r="C731">
        <v>3675000</v>
      </c>
      <c r="D731" t="s">
        <v>38</v>
      </c>
      <c r="E731" t="s">
        <v>155</v>
      </c>
      <c r="F731" t="s">
        <v>237</v>
      </c>
      <c r="G731" t="s">
        <v>1061</v>
      </c>
      <c r="H731">
        <v>2001</v>
      </c>
      <c r="I731" t="s">
        <v>28</v>
      </c>
      <c r="J731" t="s">
        <v>29</v>
      </c>
      <c r="K731">
        <v>18227</v>
      </c>
      <c r="L731">
        <v>2700</v>
      </c>
      <c r="M731" t="s">
        <v>30</v>
      </c>
      <c r="N731" t="s">
        <v>30</v>
      </c>
      <c r="O731" t="s">
        <v>33</v>
      </c>
      <c r="P731" t="s">
        <v>33</v>
      </c>
      <c r="Q731" t="s">
        <v>33</v>
      </c>
      <c r="U731" t="s">
        <v>142</v>
      </c>
      <c r="V731" t="s">
        <v>35</v>
      </c>
      <c r="W731" t="s">
        <v>36</v>
      </c>
    </row>
    <row r="732" spans="1:23" x14ac:dyDescent="0.25">
      <c r="A732">
        <v>735</v>
      </c>
      <c r="B732" t="s">
        <v>1062</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25">
      <c r="A733">
        <v>736</v>
      </c>
      <c r="B733" t="s">
        <v>1063</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25">
      <c r="A734">
        <v>737</v>
      </c>
      <c r="B734" t="s">
        <v>1064</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25">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25">
      <c r="A736">
        <v>739</v>
      </c>
      <c r="B736" t="s">
        <v>1065</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25">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25">
      <c r="A738">
        <v>741</v>
      </c>
      <c r="B738" t="s">
        <v>1066</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25">
      <c r="A739">
        <v>742</v>
      </c>
      <c r="B739" t="s">
        <v>1067</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25">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25">
      <c r="A741">
        <v>744</v>
      </c>
      <c r="B741" t="s">
        <v>1068</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25">
      <c r="A742">
        <v>745</v>
      </c>
      <c r="B742" t="s">
        <v>1069</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25">
      <c r="A743">
        <v>746</v>
      </c>
      <c r="B743" t="s">
        <v>1070</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25">
      <c r="A744">
        <v>747</v>
      </c>
      <c r="B744" t="s">
        <v>1071</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25">
      <c r="A745">
        <v>748</v>
      </c>
      <c r="B745" t="s">
        <v>1072</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25">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25">
      <c r="A747">
        <v>750</v>
      </c>
      <c r="B747" t="s">
        <v>1073</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25">
      <c r="A748">
        <v>751</v>
      </c>
      <c r="B748" t="s">
        <v>1074</v>
      </c>
      <c r="C748">
        <v>6024375</v>
      </c>
      <c r="D748" t="s">
        <v>24</v>
      </c>
      <c r="E748" t="s">
        <v>25</v>
      </c>
      <c r="F748" t="s">
        <v>58</v>
      </c>
      <c r="G748" t="s">
        <v>333</v>
      </c>
      <c r="H748">
        <v>2010</v>
      </c>
      <c r="I748" t="s">
        <v>63</v>
      </c>
      <c r="J748" t="s">
        <v>43</v>
      </c>
      <c r="K748">
        <v>29547</v>
      </c>
      <c r="L748">
        <v>3500</v>
      </c>
      <c r="M748" t="s">
        <v>44</v>
      </c>
      <c r="N748" t="s">
        <v>44</v>
      </c>
      <c r="O748" t="s">
        <v>1075</v>
      </c>
      <c r="P748" t="s">
        <v>73</v>
      </c>
      <c r="Q748" t="s">
        <v>74</v>
      </c>
      <c r="R748">
        <v>5</v>
      </c>
      <c r="S748">
        <v>6</v>
      </c>
      <c r="T748">
        <v>268</v>
      </c>
      <c r="U748" t="s">
        <v>45</v>
      </c>
      <c r="V748" t="s">
        <v>35</v>
      </c>
      <c r="W748" t="s">
        <v>36</v>
      </c>
    </row>
    <row r="749" spans="1:23" x14ac:dyDescent="0.25">
      <c r="A749">
        <v>752</v>
      </c>
      <c r="B749" t="s">
        <v>1076</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25">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25">
      <c r="A751">
        <v>754</v>
      </c>
      <c r="B751" t="s">
        <v>1077</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25">
      <c r="A752">
        <v>755</v>
      </c>
      <c r="B752" t="s">
        <v>1078</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25">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25">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25">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25">
      <c r="A756">
        <v>759</v>
      </c>
      <c r="B756" t="s">
        <v>1079</v>
      </c>
      <c r="C756">
        <v>19188750</v>
      </c>
      <c r="D756" t="s">
        <v>24</v>
      </c>
      <c r="E756" t="s">
        <v>76</v>
      </c>
      <c r="F756" t="s">
        <v>478</v>
      </c>
      <c r="G756" t="s">
        <v>1080</v>
      </c>
      <c r="H756">
        <v>2015</v>
      </c>
      <c r="I756" t="s">
        <v>63</v>
      </c>
      <c r="J756" t="s">
        <v>29</v>
      </c>
      <c r="K756">
        <v>21332</v>
      </c>
      <c r="L756">
        <v>5600</v>
      </c>
      <c r="M756" t="s">
        <v>30</v>
      </c>
      <c r="N756" t="s">
        <v>30</v>
      </c>
      <c r="O756" t="s">
        <v>33</v>
      </c>
      <c r="P756" t="s">
        <v>33</v>
      </c>
      <c r="Q756" t="s">
        <v>33</v>
      </c>
      <c r="U756" t="s">
        <v>45</v>
      </c>
      <c r="V756" t="s">
        <v>35</v>
      </c>
      <c r="W756" t="s">
        <v>36</v>
      </c>
    </row>
    <row r="757" spans="1:23" x14ac:dyDescent="0.25">
      <c r="A757">
        <v>760</v>
      </c>
      <c r="B757" t="s">
        <v>1081</v>
      </c>
      <c r="C757">
        <v>5250000</v>
      </c>
      <c r="D757" t="s">
        <v>24</v>
      </c>
      <c r="E757" t="s">
        <v>150</v>
      </c>
      <c r="F757" t="s">
        <v>135</v>
      </c>
      <c r="G757" t="s">
        <v>1082</v>
      </c>
      <c r="H757">
        <v>2010</v>
      </c>
      <c r="I757" t="s">
        <v>97</v>
      </c>
      <c r="J757" t="s">
        <v>43</v>
      </c>
      <c r="K757">
        <v>15234</v>
      </c>
      <c r="L757">
        <v>4000</v>
      </c>
      <c r="M757" t="s">
        <v>44</v>
      </c>
      <c r="N757" t="s">
        <v>30</v>
      </c>
      <c r="O757" t="s">
        <v>33</v>
      </c>
      <c r="P757" t="s">
        <v>33</v>
      </c>
      <c r="Q757" t="s">
        <v>33</v>
      </c>
      <c r="U757" t="s">
        <v>33</v>
      </c>
      <c r="V757" t="s">
        <v>35</v>
      </c>
      <c r="W757" t="s">
        <v>36</v>
      </c>
    </row>
    <row r="758" spans="1:23" x14ac:dyDescent="0.25">
      <c r="A758">
        <v>761</v>
      </c>
      <c r="B758" t="s">
        <v>1083</v>
      </c>
      <c r="C758">
        <v>52500000</v>
      </c>
      <c r="D758" t="s">
        <v>24</v>
      </c>
      <c r="E758" t="s">
        <v>25</v>
      </c>
      <c r="F758" t="s">
        <v>1084</v>
      </c>
      <c r="G758" t="s">
        <v>1085</v>
      </c>
      <c r="H758">
        <v>2018</v>
      </c>
      <c r="I758" t="s">
        <v>42</v>
      </c>
      <c r="J758" t="s">
        <v>29</v>
      </c>
      <c r="K758">
        <v>35590</v>
      </c>
      <c r="L758">
        <v>3000</v>
      </c>
      <c r="M758" t="s">
        <v>30</v>
      </c>
      <c r="N758" t="s">
        <v>30</v>
      </c>
      <c r="O758" t="s">
        <v>1086</v>
      </c>
      <c r="P758" t="s">
        <v>73</v>
      </c>
      <c r="Q758" t="s">
        <v>33</v>
      </c>
      <c r="R758">
        <v>5</v>
      </c>
      <c r="S758">
        <v>6</v>
      </c>
      <c r="T758">
        <v>345</v>
      </c>
      <c r="U758" t="s">
        <v>45</v>
      </c>
      <c r="V758" t="s">
        <v>35</v>
      </c>
      <c r="W758" t="s">
        <v>36</v>
      </c>
    </row>
    <row r="759" spans="1:23" x14ac:dyDescent="0.25">
      <c r="A759">
        <v>762</v>
      </c>
      <c r="B759" t="s">
        <v>1087</v>
      </c>
      <c r="C759">
        <v>9450000</v>
      </c>
      <c r="D759" t="s">
        <v>24</v>
      </c>
      <c r="E759" t="s">
        <v>25</v>
      </c>
      <c r="F759" t="s">
        <v>58</v>
      </c>
      <c r="G759" t="s">
        <v>243</v>
      </c>
      <c r="H759">
        <v>2015</v>
      </c>
      <c r="I759" t="s">
        <v>42</v>
      </c>
      <c r="J759" t="s">
        <v>29</v>
      </c>
      <c r="K759">
        <v>48280</v>
      </c>
      <c r="L759">
        <v>2000</v>
      </c>
      <c r="M759" t="s">
        <v>30</v>
      </c>
      <c r="N759" t="s">
        <v>30</v>
      </c>
      <c r="O759" t="s">
        <v>1088</v>
      </c>
      <c r="P759" t="s">
        <v>73</v>
      </c>
      <c r="Q759" t="s">
        <v>33</v>
      </c>
      <c r="R759">
        <v>5</v>
      </c>
      <c r="S759">
        <v>4</v>
      </c>
      <c r="T759">
        <v>241</v>
      </c>
      <c r="U759" t="s">
        <v>34</v>
      </c>
      <c r="V759" t="s">
        <v>35</v>
      </c>
      <c r="W759" t="s">
        <v>36</v>
      </c>
    </row>
    <row r="760" spans="1:23" x14ac:dyDescent="0.25">
      <c r="A760">
        <v>763</v>
      </c>
      <c r="B760" t="s">
        <v>1089</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25">
      <c r="A761">
        <v>764</v>
      </c>
      <c r="B761" t="s">
        <v>1090</v>
      </c>
      <c r="C761">
        <v>3412500</v>
      </c>
      <c r="D761" t="s">
        <v>24</v>
      </c>
      <c r="E761" t="s">
        <v>299</v>
      </c>
      <c r="F761" t="s">
        <v>48</v>
      </c>
      <c r="G761" t="s">
        <v>222</v>
      </c>
      <c r="H761">
        <v>2007</v>
      </c>
      <c r="I761" t="s">
        <v>71</v>
      </c>
      <c r="J761" t="s">
        <v>43</v>
      </c>
      <c r="K761">
        <v>26080</v>
      </c>
      <c r="L761">
        <v>2400</v>
      </c>
      <c r="M761" t="s">
        <v>44</v>
      </c>
      <c r="N761" t="s">
        <v>44</v>
      </c>
      <c r="O761" t="s">
        <v>33</v>
      </c>
      <c r="P761" t="s">
        <v>33</v>
      </c>
      <c r="Q761" t="s">
        <v>1091</v>
      </c>
      <c r="U761" t="s">
        <v>45</v>
      </c>
      <c r="V761" t="s">
        <v>35</v>
      </c>
      <c r="W761" t="s">
        <v>36</v>
      </c>
    </row>
    <row r="762" spans="1:23" x14ac:dyDescent="0.25">
      <c r="A762">
        <v>765</v>
      </c>
      <c r="B762" t="s">
        <v>1092</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25">
      <c r="A763">
        <v>766</v>
      </c>
      <c r="B763" t="s">
        <v>1093</v>
      </c>
      <c r="C763">
        <v>3328000</v>
      </c>
      <c r="D763" t="s">
        <v>24</v>
      </c>
      <c r="E763" t="s">
        <v>25</v>
      </c>
      <c r="F763" t="s">
        <v>48</v>
      </c>
      <c r="G763" t="s">
        <v>96</v>
      </c>
      <c r="H763">
        <v>2005</v>
      </c>
      <c r="I763" t="s">
        <v>60</v>
      </c>
      <c r="J763" t="s">
        <v>43</v>
      </c>
      <c r="K763">
        <v>18437</v>
      </c>
      <c r="L763">
        <v>2400</v>
      </c>
      <c r="M763" t="s">
        <v>44</v>
      </c>
      <c r="N763" t="s">
        <v>30</v>
      </c>
      <c r="O763" t="s">
        <v>1094</v>
      </c>
      <c r="P763" t="s">
        <v>67</v>
      </c>
      <c r="Q763" t="s">
        <v>74</v>
      </c>
      <c r="R763">
        <v>5</v>
      </c>
      <c r="T763">
        <v>160</v>
      </c>
      <c r="U763" t="s">
        <v>34</v>
      </c>
      <c r="V763" t="s">
        <v>35</v>
      </c>
      <c r="W763" t="s">
        <v>36</v>
      </c>
    </row>
    <row r="764" spans="1:23" x14ac:dyDescent="0.25">
      <c r="A764">
        <v>767</v>
      </c>
      <c r="B764" t="s">
        <v>1095</v>
      </c>
      <c r="C764">
        <v>5565000</v>
      </c>
      <c r="D764" t="s">
        <v>38</v>
      </c>
      <c r="E764" t="s">
        <v>52</v>
      </c>
      <c r="F764" t="s">
        <v>48</v>
      </c>
      <c r="G764" t="s">
        <v>452</v>
      </c>
      <c r="H764">
        <v>2010</v>
      </c>
      <c r="I764" t="s">
        <v>42</v>
      </c>
      <c r="J764" t="s">
        <v>43</v>
      </c>
      <c r="K764">
        <v>20169</v>
      </c>
      <c r="L764">
        <v>2700</v>
      </c>
      <c r="M764" t="s">
        <v>44</v>
      </c>
      <c r="N764" t="s">
        <v>84</v>
      </c>
      <c r="O764" t="s">
        <v>33</v>
      </c>
      <c r="P764" t="s">
        <v>33</v>
      </c>
      <c r="Q764" t="s">
        <v>1096</v>
      </c>
      <c r="U764" t="s">
        <v>398</v>
      </c>
      <c r="V764" t="s">
        <v>35</v>
      </c>
      <c r="W764" t="s">
        <v>200</v>
      </c>
    </row>
    <row r="765" spans="1:23" x14ac:dyDescent="0.25">
      <c r="A765">
        <v>768</v>
      </c>
      <c r="B765" t="s">
        <v>812</v>
      </c>
      <c r="C765">
        <v>3150000</v>
      </c>
      <c r="D765" t="s">
        <v>38</v>
      </c>
      <c r="E765" t="s">
        <v>39</v>
      </c>
      <c r="F765" t="s">
        <v>237</v>
      </c>
      <c r="G765" t="s">
        <v>468</v>
      </c>
      <c r="H765">
        <v>2013</v>
      </c>
      <c r="I765" t="s">
        <v>50</v>
      </c>
      <c r="J765" t="s">
        <v>43</v>
      </c>
      <c r="K765">
        <v>13072</v>
      </c>
      <c r="L765">
        <v>1800</v>
      </c>
      <c r="M765" t="s">
        <v>44</v>
      </c>
      <c r="N765" t="s">
        <v>30</v>
      </c>
      <c r="O765" t="s">
        <v>1046</v>
      </c>
      <c r="P765" t="s">
        <v>32</v>
      </c>
      <c r="Q765" t="s">
        <v>702</v>
      </c>
      <c r="R765">
        <v>5</v>
      </c>
      <c r="S765">
        <v>4</v>
      </c>
      <c r="U765" t="s">
        <v>34</v>
      </c>
      <c r="V765" t="s">
        <v>35</v>
      </c>
      <c r="W765" t="s">
        <v>36</v>
      </c>
    </row>
    <row r="766" spans="1:23" x14ac:dyDescent="0.25">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25">
      <c r="A767">
        <v>770</v>
      </c>
      <c r="B767" t="s">
        <v>1097</v>
      </c>
      <c r="C767">
        <v>1575000</v>
      </c>
      <c r="D767" t="s">
        <v>38</v>
      </c>
      <c r="E767" t="s">
        <v>86</v>
      </c>
      <c r="F767" t="s">
        <v>301</v>
      </c>
      <c r="G767" t="s">
        <v>306</v>
      </c>
      <c r="H767">
        <v>2002</v>
      </c>
      <c r="I767" t="s">
        <v>97</v>
      </c>
      <c r="J767" t="s">
        <v>43</v>
      </c>
      <c r="L767">
        <v>2200</v>
      </c>
      <c r="M767" t="s">
        <v>44</v>
      </c>
      <c r="N767" t="s">
        <v>44</v>
      </c>
      <c r="O767" t="s">
        <v>33</v>
      </c>
      <c r="P767" t="s">
        <v>33</v>
      </c>
      <c r="Q767" t="s">
        <v>922</v>
      </c>
      <c r="U767" t="s">
        <v>33</v>
      </c>
      <c r="V767" t="s">
        <v>35</v>
      </c>
      <c r="W767" t="s">
        <v>36</v>
      </c>
    </row>
    <row r="768" spans="1:23" x14ac:dyDescent="0.25">
      <c r="A768">
        <v>771</v>
      </c>
      <c r="B768" t="s">
        <v>1098</v>
      </c>
      <c r="C768">
        <v>2730000</v>
      </c>
      <c r="D768" t="s">
        <v>24</v>
      </c>
      <c r="E768" t="s">
        <v>125</v>
      </c>
      <c r="F768" t="s">
        <v>107</v>
      </c>
      <c r="G768" t="s">
        <v>108</v>
      </c>
      <c r="H768">
        <v>2012</v>
      </c>
      <c r="I768" t="s">
        <v>50</v>
      </c>
      <c r="J768" t="s">
        <v>43</v>
      </c>
      <c r="K768">
        <v>88447</v>
      </c>
      <c r="L768">
        <v>2400</v>
      </c>
      <c r="M768" t="s">
        <v>44</v>
      </c>
      <c r="N768" t="s">
        <v>44</v>
      </c>
      <c r="O768" t="s">
        <v>33</v>
      </c>
      <c r="P768" t="s">
        <v>33</v>
      </c>
      <c r="Q768" t="s">
        <v>1099</v>
      </c>
      <c r="U768" t="s">
        <v>33</v>
      </c>
      <c r="V768" t="s">
        <v>35</v>
      </c>
      <c r="W768" t="s">
        <v>36</v>
      </c>
    </row>
    <row r="769" spans="1:23" x14ac:dyDescent="0.25">
      <c r="A769">
        <v>772</v>
      </c>
      <c r="B769" t="s">
        <v>1100</v>
      </c>
      <c r="C769">
        <v>4410000</v>
      </c>
      <c r="D769" t="s">
        <v>38</v>
      </c>
      <c r="E769" t="s">
        <v>39</v>
      </c>
      <c r="F769" t="s">
        <v>237</v>
      </c>
      <c r="G769" t="s">
        <v>1101</v>
      </c>
      <c r="H769">
        <v>2012</v>
      </c>
      <c r="I769" t="s">
        <v>145</v>
      </c>
      <c r="J769" t="s">
        <v>43</v>
      </c>
      <c r="K769">
        <v>19850</v>
      </c>
      <c r="L769">
        <v>1600</v>
      </c>
      <c r="M769" t="s">
        <v>44</v>
      </c>
      <c r="N769" t="s">
        <v>44</v>
      </c>
      <c r="O769" t="s">
        <v>33</v>
      </c>
      <c r="P769" t="s">
        <v>33</v>
      </c>
      <c r="Q769" t="s">
        <v>33</v>
      </c>
      <c r="U769" t="s">
        <v>33</v>
      </c>
      <c r="V769" t="s">
        <v>35</v>
      </c>
      <c r="W769" t="s">
        <v>36</v>
      </c>
    </row>
    <row r="770" spans="1:23" x14ac:dyDescent="0.25">
      <c r="A770">
        <v>773</v>
      </c>
      <c r="B770" t="s">
        <v>1102</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25">
      <c r="A771">
        <v>774</v>
      </c>
      <c r="B771" t="s">
        <v>1103</v>
      </c>
      <c r="C771">
        <v>10500000</v>
      </c>
      <c r="D771" t="s">
        <v>24</v>
      </c>
      <c r="E771" t="s">
        <v>784</v>
      </c>
      <c r="F771" t="s">
        <v>118</v>
      </c>
      <c r="G771" t="s">
        <v>1104</v>
      </c>
      <c r="H771">
        <v>2011</v>
      </c>
      <c r="I771" t="s">
        <v>42</v>
      </c>
      <c r="J771" t="s">
        <v>29</v>
      </c>
      <c r="K771">
        <v>24484</v>
      </c>
      <c r="L771">
        <v>3000</v>
      </c>
      <c r="M771" t="s">
        <v>30</v>
      </c>
      <c r="N771" t="s">
        <v>30</v>
      </c>
      <c r="O771" t="s">
        <v>33</v>
      </c>
      <c r="P771" t="s">
        <v>33</v>
      </c>
      <c r="Q771" t="s">
        <v>33</v>
      </c>
      <c r="U771" t="s">
        <v>33</v>
      </c>
      <c r="V771" t="s">
        <v>35</v>
      </c>
      <c r="W771" t="s">
        <v>36</v>
      </c>
    </row>
    <row r="772" spans="1:23" x14ac:dyDescent="0.25">
      <c r="A772">
        <v>775</v>
      </c>
      <c r="B772" t="s">
        <v>1105</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25">
      <c r="A773">
        <v>776</v>
      </c>
      <c r="B773" t="s">
        <v>1106</v>
      </c>
      <c r="C773">
        <v>1575000</v>
      </c>
      <c r="D773" t="s">
        <v>38</v>
      </c>
      <c r="E773" t="s">
        <v>86</v>
      </c>
      <c r="F773" t="s">
        <v>58</v>
      </c>
      <c r="G773" t="s">
        <v>946</v>
      </c>
      <c r="H773">
        <v>2005</v>
      </c>
      <c r="I773" t="s">
        <v>63</v>
      </c>
      <c r="J773" t="s">
        <v>43</v>
      </c>
      <c r="K773">
        <v>55124</v>
      </c>
      <c r="L773">
        <v>2600</v>
      </c>
      <c r="M773" t="s">
        <v>44</v>
      </c>
      <c r="N773" t="s">
        <v>44</v>
      </c>
      <c r="O773" t="s">
        <v>33</v>
      </c>
      <c r="P773" t="s">
        <v>33</v>
      </c>
      <c r="Q773" t="s">
        <v>922</v>
      </c>
      <c r="U773" t="s">
        <v>33</v>
      </c>
      <c r="V773" t="s">
        <v>35</v>
      </c>
      <c r="W773" t="s">
        <v>36</v>
      </c>
    </row>
    <row r="774" spans="1:23" x14ac:dyDescent="0.25">
      <c r="A774">
        <v>777</v>
      </c>
      <c r="B774" t="s">
        <v>1107</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25">
      <c r="A775">
        <v>778</v>
      </c>
      <c r="B775" t="s">
        <v>1108</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25">
      <c r="A776">
        <v>779</v>
      </c>
      <c r="B776" t="s">
        <v>1109</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25">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25">
      <c r="A778">
        <v>781</v>
      </c>
      <c r="B778" t="s">
        <v>1110</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25">
      <c r="A779">
        <v>782</v>
      </c>
      <c r="B779" t="s">
        <v>1111</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25">
      <c r="A780">
        <v>783</v>
      </c>
      <c r="B780" t="s">
        <v>1112</v>
      </c>
      <c r="C780">
        <v>1365000</v>
      </c>
      <c r="D780" t="s">
        <v>257</v>
      </c>
      <c r="E780" t="s">
        <v>258</v>
      </c>
      <c r="F780" t="s">
        <v>478</v>
      </c>
      <c r="G780" t="s">
        <v>1113</v>
      </c>
      <c r="H780">
        <v>2002</v>
      </c>
      <c r="I780" t="s">
        <v>50</v>
      </c>
      <c r="J780" t="s">
        <v>43</v>
      </c>
      <c r="K780">
        <v>24822</v>
      </c>
      <c r="L780">
        <v>3500</v>
      </c>
      <c r="M780" t="s">
        <v>44</v>
      </c>
      <c r="N780" t="s">
        <v>44</v>
      </c>
      <c r="O780" t="s">
        <v>33</v>
      </c>
      <c r="P780" t="s">
        <v>33</v>
      </c>
      <c r="Q780" t="s">
        <v>74</v>
      </c>
      <c r="U780" t="s">
        <v>45</v>
      </c>
      <c r="V780" t="s">
        <v>35</v>
      </c>
      <c r="W780" t="s">
        <v>36</v>
      </c>
    </row>
    <row r="781" spans="1:23" x14ac:dyDescent="0.25">
      <c r="A781">
        <v>784</v>
      </c>
      <c r="B781" t="s">
        <v>1114</v>
      </c>
      <c r="C781">
        <v>3952000</v>
      </c>
      <c r="D781" t="s">
        <v>128</v>
      </c>
      <c r="E781" t="s">
        <v>129</v>
      </c>
      <c r="F781" t="s">
        <v>40</v>
      </c>
      <c r="G781" t="s">
        <v>1115</v>
      </c>
      <c r="H781">
        <v>2006</v>
      </c>
      <c r="I781" t="s">
        <v>60</v>
      </c>
      <c r="J781" t="s">
        <v>43</v>
      </c>
      <c r="K781">
        <v>17799</v>
      </c>
      <c r="L781">
        <v>4400</v>
      </c>
      <c r="M781" t="s">
        <v>44</v>
      </c>
      <c r="N781" t="s">
        <v>44</v>
      </c>
      <c r="O781" t="s">
        <v>33</v>
      </c>
      <c r="P781" t="s">
        <v>33</v>
      </c>
      <c r="Q781" t="s">
        <v>33</v>
      </c>
      <c r="U781" t="s">
        <v>45</v>
      </c>
      <c r="V781" t="s">
        <v>35</v>
      </c>
      <c r="W781" t="s">
        <v>36</v>
      </c>
    </row>
    <row r="782" spans="1:23" x14ac:dyDescent="0.25">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25">
      <c r="A783">
        <v>786</v>
      </c>
      <c r="B783" t="s">
        <v>1116</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25">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25">
      <c r="A785">
        <v>788</v>
      </c>
      <c r="B785" t="s">
        <v>1117</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25">
      <c r="A786">
        <v>789</v>
      </c>
      <c r="B786" t="s">
        <v>1118</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25">
      <c r="A787">
        <v>790</v>
      </c>
      <c r="B787" t="s">
        <v>1119</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25">
      <c r="A788">
        <v>791</v>
      </c>
      <c r="B788" t="s">
        <v>1120</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25">
      <c r="A789">
        <v>792</v>
      </c>
      <c r="B789" t="s">
        <v>1121</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25">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25">
      <c r="A791">
        <v>794</v>
      </c>
      <c r="B791" t="s">
        <v>1122</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25">
      <c r="A792">
        <v>795</v>
      </c>
      <c r="B792" t="s">
        <v>1123</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25">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25">
      <c r="A794">
        <v>797</v>
      </c>
      <c r="B794" t="s">
        <v>1124</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25">
      <c r="A795">
        <v>798</v>
      </c>
      <c r="B795" t="s">
        <v>1125</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25">
      <c r="A796">
        <v>799</v>
      </c>
      <c r="B796" t="s">
        <v>1126</v>
      </c>
      <c r="C796">
        <v>1462125</v>
      </c>
      <c r="D796" t="s">
        <v>24</v>
      </c>
      <c r="E796" t="s">
        <v>784</v>
      </c>
      <c r="F796" t="s">
        <v>107</v>
      </c>
      <c r="G796" t="s">
        <v>1127</v>
      </c>
      <c r="H796">
        <v>2009</v>
      </c>
      <c r="I796" t="s">
        <v>50</v>
      </c>
      <c r="J796" t="s">
        <v>43</v>
      </c>
      <c r="K796">
        <v>16564</v>
      </c>
      <c r="L796">
        <v>1500</v>
      </c>
      <c r="M796" t="s">
        <v>44</v>
      </c>
      <c r="N796" t="s">
        <v>30</v>
      </c>
      <c r="O796" t="s">
        <v>33</v>
      </c>
      <c r="P796" t="s">
        <v>33</v>
      </c>
      <c r="Q796" t="s">
        <v>74</v>
      </c>
      <c r="U796" t="s">
        <v>33</v>
      </c>
      <c r="V796" t="s">
        <v>35</v>
      </c>
      <c r="W796" t="s">
        <v>36</v>
      </c>
    </row>
    <row r="797" spans="1:23" x14ac:dyDescent="0.25">
      <c r="A797">
        <v>800</v>
      </c>
      <c r="B797" t="s">
        <v>1128</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25">
      <c r="A798">
        <v>801</v>
      </c>
      <c r="B798" t="s">
        <v>1129</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25">
      <c r="A799">
        <v>802</v>
      </c>
      <c r="B799" t="s">
        <v>1130</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25">
      <c r="A800">
        <v>803</v>
      </c>
      <c r="B800" t="s">
        <v>1131</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25">
      <c r="A801">
        <v>804</v>
      </c>
      <c r="B801" t="s">
        <v>1132</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25">
      <c r="A802">
        <v>805</v>
      </c>
      <c r="B802" t="s">
        <v>1133</v>
      </c>
      <c r="C802">
        <v>9975000</v>
      </c>
      <c r="D802" t="s">
        <v>257</v>
      </c>
      <c r="E802" t="s">
        <v>258</v>
      </c>
      <c r="F802" t="s">
        <v>1134</v>
      </c>
      <c r="G802" t="s">
        <v>1135</v>
      </c>
      <c r="H802">
        <v>2012</v>
      </c>
      <c r="I802" t="s">
        <v>97</v>
      </c>
      <c r="J802" t="s">
        <v>29</v>
      </c>
      <c r="K802">
        <v>22576</v>
      </c>
      <c r="L802">
        <v>5700</v>
      </c>
      <c r="M802" t="s">
        <v>30</v>
      </c>
      <c r="N802" t="s">
        <v>30</v>
      </c>
      <c r="O802" t="s">
        <v>33</v>
      </c>
      <c r="P802" t="s">
        <v>33</v>
      </c>
      <c r="Q802" t="s">
        <v>33</v>
      </c>
      <c r="U802" t="s">
        <v>33</v>
      </c>
      <c r="V802" t="s">
        <v>35</v>
      </c>
      <c r="W802" t="s">
        <v>36</v>
      </c>
    </row>
    <row r="803" spans="1:23" x14ac:dyDescent="0.25">
      <c r="A803">
        <v>806</v>
      </c>
      <c r="B803" t="s">
        <v>1136</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25">
      <c r="A804">
        <v>807</v>
      </c>
      <c r="B804" t="s">
        <v>1137</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25">
      <c r="A805">
        <v>808</v>
      </c>
      <c r="B805" t="s">
        <v>1138</v>
      </c>
      <c r="C805">
        <v>2625000</v>
      </c>
      <c r="D805" t="s">
        <v>38</v>
      </c>
      <c r="E805" t="s">
        <v>242</v>
      </c>
      <c r="F805" t="s">
        <v>58</v>
      </c>
      <c r="G805" t="s">
        <v>1001</v>
      </c>
      <c r="H805">
        <v>2008</v>
      </c>
      <c r="I805" t="s">
        <v>50</v>
      </c>
      <c r="J805" t="s">
        <v>43</v>
      </c>
      <c r="K805">
        <v>23994</v>
      </c>
      <c r="L805">
        <v>3500</v>
      </c>
      <c r="M805" t="s">
        <v>44</v>
      </c>
      <c r="N805" t="s">
        <v>30</v>
      </c>
      <c r="O805" t="s">
        <v>33</v>
      </c>
      <c r="P805" t="s">
        <v>33</v>
      </c>
      <c r="Q805" t="s">
        <v>87</v>
      </c>
      <c r="U805" t="s">
        <v>33</v>
      </c>
      <c r="V805" t="s">
        <v>35</v>
      </c>
      <c r="W805" t="s">
        <v>36</v>
      </c>
    </row>
    <row r="806" spans="1:23" x14ac:dyDescent="0.25">
      <c r="A806">
        <v>809</v>
      </c>
      <c r="B806" t="s">
        <v>1139</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25">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25">
      <c r="A808">
        <v>811</v>
      </c>
      <c r="B808" t="s">
        <v>1140</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25">
      <c r="A809">
        <v>812</v>
      </c>
      <c r="B809" t="s">
        <v>1141</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25">
      <c r="A810">
        <v>813</v>
      </c>
      <c r="B810" t="s">
        <v>355</v>
      </c>
      <c r="C810">
        <v>1785000</v>
      </c>
      <c r="D810" t="s">
        <v>24</v>
      </c>
      <c r="E810" t="s">
        <v>57</v>
      </c>
      <c r="F810" t="s">
        <v>48</v>
      </c>
      <c r="G810" t="s">
        <v>96</v>
      </c>
      <c r="H810">
        <v>2005</v>
      </c>
      <c r="I810" t="s">
        <v>97</v>
      </c>
      <c r="J810" t="s">
        <v>43</v>
      </c>
      <c r="K810">
        <v>17383</v>
      </c>
      <c r="L810">
        <v>2400</v>
      </c>
      <c r="M810" t="s">
        <v>44</v>
      </c>
      <c r="N810" t="s">
        <v>44</v>
      </c>
      <c r="O810" t="s">
        <v>1142</v>
      </c>
      <c r="P810" t="s">
        <v>67</v>
      </c>
      <c r="Q810" t="s">
        <v>74</v>
      </c>
      <c r="R810">
        <v>5</v>
      </c>
      <c r="S810">
        <v>4</v>
      </c>
      <c r="T810">
        <v>160</v>
      </c>
      <c r="U810" t="s">
        <v>34</v>
      </c>
      <c r="V810" t="s">
        <v>35</v>
      </c>
      <c r="W810" t="s">
        <v>36</v>
      </c>
    </row>
    <row r="811" spans="1:23" x14ac:dyDescent="0.25">
      <c r="A811">
        <v>814</v>
      </c>
      <c r="B811" t="s">
        <v>1143</v>
      </c>
      <c r="C811">
        <v>5034750</v>
      </c>
      <c r="D811" t="s">
        <v>38</v>
      </c>
      <c r="E811" t="s">
        <v>39</v>
      </c>
      <c r="F811" t="s">
        <v>118</v>
      </c>
      <c r="G811" t="s">
        <v>902</v>
      </c>
      <c r="H811">
        <v>2013</v>
      </c>
      <c r="I811" t="s">
        <v>97</v>
      </c>
      <c r="J811" t="s">
        <v>43</v>
      </c>
      <c r="K811">
        <v>29156</v>
      </c>
      <c r="L811">
        <v>3000</v>
      </c>
      <c r="M811" t="s">
        <v>44</v>
      </c>
      <c r="N811" t="s">
        <v>44</v>
      </c>
      <c r="O811" t="s">
        <v>33</v>
      </c>
      <c r="P811" t="s">
        <v>33</v>
      </c>
      <c r="Q811" t="s">
        <v>702</v>
      </c>
      <c r="U811" t="s">
        <v>33</v>
      </c>
      <c r="V811" t="s">
        <v>35</v>
      </c>
      <c r="W811" t="s">
        <v>36</v>
      </c>
    </row>
    <row r="812" spans="1:23" x14ac:dyDescent="0.25">
      <c r="A812">
        <v>815</v>
      </c>
      <c r="B812" t="s">
        <v>1144</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25">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25">
      <c r="A814">
        <v>817</v>
      </c>
      <c r="B814" t="s">
        <v>1145</v>
      </c>
      <c r="C814">
        <v>8925000</v>
      </c>
      <c r="D814" t="s">
        <v>24</v>
      </c>
      <c r="E814" t="s">
        <v>47</v>
      </c>
      <c r="F814" t="s">
        <v>58</v>
      </c>
      <c r="G814" t="s">
        <v>1146</v>
      </c>
      <c r="H814">
        <v>2014</v>
      </c>
      <c r="I814" t="s">
        <v>50</v>
      </c>
      <c r="J814" t="s">
        <v>29</v>
      </c>
      <c r="K814">
        <v>83956</v>
      </c>
      <c r="L814">
        <v>2000</v>
      </c>
      <c r="M814" t="s">
        <v>30</v>
      </c>
      <c r="N814" t="s">
        <v>30</v>
      </c>
      <c r="O814" t="s">
        <v>33</v>
      </c>
      <c r="P814" t="s">
        <v>33</v>
      </c>
      <c r="Q814" t="s">
        <v>33</v>
      </c>
      <c r="U814" t="s">
        <v>33</v>
      </c>
      <c r="V814" t="s">
        <v>35</v>
      </c>
      <c r="W814" t="s">
        <v>36</v>
      </c>
    </row>
    <row r="815" spans="1:23" x14ac:dyDescent="0.25">
      <c r="A815">
        <v>818</v>
      </c>
      <c r="B815" t="s">
        <v>1147</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25">
      <c r="A816">
        <v>819</v>
      </c>
      <c r="B816" t="s">
        <v>1148</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25">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25">
      <c r="A818">
        <v>821</v>
      </c>
      <c r="B818" t="s">
        <v>948</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25">
      <c r="A819">
        <v>822</v>
      </c>
      <c r="B819" t="s">
        <v>1149</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25">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25">
      <c r="A821">
        <v>824</v>
      </c>
      <c r="B821" t="s">
        <v>1150</v>
      </c>
      <c r="C821">
        <v>5512500</v>
      </c>
      <c r="D821" t="s">
        <v>24</v>
      </c>
      <c r="E821" t="s">
        <v>99</v>
      </c>
      <c r="F821" t="s">
        <v>48</v>
      </c>
      <c r="G821" t="s">
        <v>96</v>
      </c>
      <c r="H821">
        <v>2016</v>
      </c>
      <c r="I821" t="s">
        <v>97</v>
      </c>
      <c r="J821" t="s">
        <v>43</v>
      </c>
      <c r="K821">
        <v>20076</v>
      </c>
      <c r="L821">
        <v>2500</v>
      </c>
      <c r="M821" t="s">
        <v>44</v>
      </c>
      <c r="N821" t="s">
        <v>30</v>
      </c>
      <c r="O821" t="s">
        <v>33</v>
      </c>
      <c r="P821" t="s">
        <v>33</v>
      </c>
      <c r="Q821" t="s">
        <v>1151</v>
      </c>
      <c r="U821" t="s">
        <v>33</v>
      </c>
      <c r="V821" t="s">
        <v>35</v>
      </c>
      <c r="W821" t="s">
        <v>36</v>
      </c>
    </row>
    <row r="822" spans="1:23" x14ac:dyDescent="0.25">
      <c r="A822">
        <v>825</v>
      </c>
      <c r="B822" t="s">
        <v>1152</v>
      </c>
      <c r="C822">
        <v>2992500</v>
      </c>
      <c r="D822" t="s">
        <v>38</v>
      </c>
      <c r="E822" t="s">
        <v>62</v>
      </c>
      <c r="F822" t="s">
        <v>48</v>
      </c>
      <c r="G822" t="s">
        <v>53</v>
      </c>
      <c r="H822">
        <v>2012</v>
      </c>
      <c r="I822" t="s">
        <v>60</v>
      </c>
      <c r="J822" t="s">
        <v>43</v>
      </c>
      <c r="K822">
        <v>14819</v>
      </c>
      <c r="L822">
        <v>1600</v>
      </c>
      <c r="M822" t="s">
        <v>44</v>
      </c>
      <c r="N822" t="s">
        <v>44</v>
      </c>
      <c r="O822" t="s">
        <v>1153</v>
      </c>
      <c r="P822" t="s">
        <v>67</v>
      </c>
      <c r="Q822" t="s">
        <v>33</v>
      </c>
      <c r="R822">
        <v>5</v>
      </c>
      <c r="S822">
        <v>4</v>
      </c>
      <c r="T822">
        <v>132</v>
      </c>
      <c r="U822" t="s">
        <v>1154</v>
      </c>
      <c r="V822" t="s">
        <v>35</v>
      </c>
      <c r="W822" t="s">
        <v>200</v>
      </c>
    </row>
    <row r="823" spans="1:23" x14ac:dyDescent="0.25">
      <c r="A823">
        <v>826</v>
      </c>
      <c r="B823" t="s">
        <v>1155</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25">
      <c r="A824">
        <v>827</v>
      </c>
      <c r="B824" t="s">
        <v>1156</v>
      </c>
      <c r="C824">
        <v>13000000</v>
      </c>
      <c r="D824" t="s">
        <v>38</v>
      </c>
      <c r="E824" t="s">
        <v>39</v>
      </c>
      <c r="F824" t="s">
        <v>58</v>
      </c>
      <c r="G824" t="s">
        <v>1157</v>
      </c>
      <c r="H824">
        <v>2015</v>
      </c>
      <c r="I824" t="s">
        <v>42</v>
      </c>
      <c r="J824" t="s">
        <v>43</v>
      </c>
      <c r="K824">
        <v>11220</v>
      </c>
      <c r="L824">
        <v>2500</v>
      </c>
      <c r="M824" t="s">
        <v>44</v>
      </c>
      <c r="N824" t="s">
        <v>44</v>
      </c>
      <c r="O824" t="s">
        <v>33</v>
      </c>
      <c r="P824" t="s">
        <v>33</v>
      </c>
      <c r="Q824" t="s">
        <v>702</v>
      </c>
      <c r="U824" t="s">
        <v>33</v>
      </c>
      <c r="V824" t="s">
        <v>35</v>
      </c>
      <c r="W824" t="s">
        <v>36</v>
      </c>
    </row>
    <row r="825" spans="1:23" x14ac:dyDescent="0.25">
      <c r="A825">
        <v>828</v>
      </c>
      <c r="B825" t="s">
        <v>1158</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25">
      <c r="A826">
        <v>829</v>
      </c>
      <c r="B826" t="s">
        <v>1159</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25">
      <c r="A827">
        <v>830</v>
      </c>
      <c r="B827" t="s">
        <v>1160</v>
      </c>
      <c r="C827">
        <v>7384000</v>
      </c>
      <c r="D827" t="s">
        <v>24</v>
      </c>
      <c r="E827" t="s">
        <v>47</v>
      </c>
      <c r="F827" t="s">
        <v>69</v>
      </c>
      <c r="G827" t="s">
        <v>1011</v>
      </c>
      <c r="H827">
        <v>2008</v>
      </c>
      <c r="I827" t="s">
        <v>97</v>
      </c>
      <c r="J827" t="s">
        <v>29</v>
      </c>
      <c r="K827">
        <v>19378</v>
      </c>
      <c r="L827">
        <v>5400</v>
      </c>
      <c r="M827" t="s">
        <v>30</v>
      </c>
      <c r="N827" t="s">
        <v>30</v>
      </c>
      <c r="O827" t="s">
        <v>33</v>
      </c>
      <c r="P827" t="s">
        <v>33</v>
      </c>
      <c r="Q827" t="s">
        <v>33</v>
      </c>
      <c r="U827" t="s">
        <v>33</v>
      </c>
      <c r="V827" t="s">
        <v>35</v>
      </c>
      <c r="W827" t="s">
        <v>36</v>
      </c>
    </row>
    <row r="828" spans="1:23" x14ac:dyDescent="0.25">
      <c r="A828">
        <v>831</v>
      </c>
      <c r="B828" t="s">
        <v>1161</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25">
      <c r="A829">
        <v>832</v>
      </c>
      <c r="B829" t="s">
        <v>1162</v>
      </c>
      <c r="C829">
        <v>1890000</v>
      </c>
      <c r="D829" t="s">
        <v>157</v>
      </c>
      <c r="E829" t="s">
        <v>158</v>
      </c>
      <c r="F829" t="s">
        <v>1163</v>
      </c>
      <c r="G829" t="s">
        <v>1164</v>
      </c>
      <c r="H829">
        <v>2003</v>
      </c>
      <c r="I829" t="s">
        <v>63</v>
      </c>
      <c r="J829" t="s">
        <v>43</v>
      </c>
      <c r="L829">
        <v>1400</v>
      </c>
      <c r="M829" t="s">
        <v>44</v>
      </c>
      <c r="N829" t="s">
        <v>30</v>
      </c>
      <c r="O829" t="s">
        <v>33</v>
      </c>
      <c r="P829" t="s">
        <v>33</v>
      </c>
      <c r="Q829" t="s">
        <v>831</v>
      </c>
      <c r="U829" t="s">
        <v>33</v>
      </c>
      <c r="V829" t="s">
        <v>35</v>
      </c>
      <c r="W829" t="s">
        <v>36</v>
      </c>
    </row>
    <row r="830" spans="1:23" x14ac:dyDescent="0.25">
      <c r="A830">
        <v>833</v>
      </c>
      <c r="B830" t="s">
        <v>1165</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25">
      <c r="A831">
        <v>834</v>
      </c>
      <c r="B831" t="s">
        <v>1166</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25">
      <c r="A832">
        <v>835</v>
      </c>
      <c r="B832" t="s">
        <v>1167</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25">
      <c r="A833">
        <v>836</v>
      </c>
      <c r="B833" t="s">
        <v>1168</v>
      </c>
      <c r="C833">
        <v>2100000</v>
      </c>
      <c r="D833" t="s">
        <v>382</v>
      </c>
      <c r="E833" t="s">
        <v>383</v>
      </c>
      <c r="F833" t="s">
        <v>1169</v>
      </c>
      <c r="G833" t="s">
        <v>1170</v>
      </c>
      <c r="H833">
        <v>2006</v>
      </c>
      <c r="I833" t="s">
        <v>60</v>
      </c>
      <c r="J833" t="s">
        <v>43</v>
      </c>
      <c r="K833">
        <v>10476</v>
      </c>
      <c r="L833">
        <v>2000</v>
      </c>
      <c r="M833" t="s">
        <v>44</v>
      </c>
      <c r="N833" t="s">
        <v>84</v>
      </c>
      <c r="O833" t="s">
        <v>33</v>
      </c>
      <c r="P833" t="s">
        <v>33</v>
      </c>
      <c r="Q833" t="s">
        <v>382</v>
      </c>
      <c r="U833" t="s">
        <v>45</v>
      </c>
      <c r="V833" t="s">
        <v>35</v>
      </c>
      <c r="W833" t="s">
        <v>36</v>
      </c>
    </row>
    <row r="834" spans="1:23" x14ac:dyDescent="0.25">
      <c r="A834">
        <v>837</v>
      </c>
      <c r="B834" t="s">
        <v>1171</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25">
      <c r="A835">
        <v>838</v>
      </c>
      <c r="B835" t="s">
        <v>1172</v>
      </c>
      <c r="C835">
        <v>1575000</v>
      </c>
      <c r="D835" t="s">
        <v>157</v>
      </c>
      <c r="E835" t="s">
        <v>158</v>
      </c>
      <c r="F835" t="s">
        <v>58</v>
      </c>
      <c r="G835" t="s">
        <v>1173</v>
      </c>
      <c r="H835">
        <v>2002</v>
      </c>
      <c r="I835" t="s">
        <v>50</v>
      </c>
      <c r="J835" t="s">
        <v>29</v>
      </c>
      <c r="K835">
        <v>33460</v>
      </c>
      <c r="L835">
        <v>1800</v>
      </c>
      <c r="M835" t="s">
        <v>30</v>
      </c>
      <c r="N835" t="s">
        <v>30</v>
      </c>
      <c r="O835" t="s">
        <v>33</v>
      </c>
      <c r="P835" t="s">
        <v>33</v>
      </c>
      <c r="Q835" t="s">
        <v>33</v>
      </c>
      <c r="U835" t="s">
        <v>33</v>
      </c>
      <c r="V835" t="s">
        <v>35</v>
      </c>
      <c r="W835" t="s">
        <v>36</v>
      </c>
    </row>
    <row r="836" spans="1:23" x14ac:dyDescent="0.25">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25">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25">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25">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25">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25">
      <c r="A841">
        <v>844</v>
      </c>
      <c r="B841" t="s">
        <v>1174</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25">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25">
      <c r="A843">
        <v>846</v>
      </c>
      <c r="B843" t="s">
        <v>1175</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25">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922</v>
      </c>
      <c r="U844" t="s">
        <v>33</v>
      </c>
      <c r="V844" t="s">
        <v>35</v>
      </c>
      <c r="W844" t="s">
        <v>36</v>
      </c>
    </row>
    <row r="845" spans="1:23" x14ac:dyDescent="0.25">
      <c r="A845">
        <v>848</v>
      </c>
      <c r="B845" t="s">
        <v>1176</v>
      </c>
      <c r="C845">
        <v>7630875</v>
      </c>
      <c r="D845" t="s">
        <v>24</v>
      </c>
      <c r="E845" t="s">
        <v>25</v>
      </c>
      <c r="F845" t="s">
        <v>48</v>
      </c>
      <c r="G845" t="s">
        <v>80</v>
      </c>
      <c r="H845">
        <v>2013</v>
      </c>
      <c r="I845" t="s">
        <v>60</v>
      </c>
      <c r="J845" t="s">
        <v>43</v>
      </c>
      <c r="K845">
        <v>98262</v>
      </c>
      <c r="L845">
        <v>3500</v>
      </c>
      <c r="M845" t="s">
        <v>44</v>
      </c>
      <c r="N845" t="s">
        <v>30</v>
      </c>
      <c r="O845" t="s">
        <v>1177</v>
      </c>
      <c r="P845" t="s">
        <v>73</v>
      </c>
      <c r="Q845" t="s">
        <v>74</v>
      </c>
      <c r="R845">
        <v>5</v>
      </c>
      <c r="S845">
        <v>6</v>
      </c>
      <c r="T845">
        <v>270</v>
      </c>
      <c r="U845" t="s">
        <v>45</v>
      </c>
      <c r="V845" t="s">
        <v>35</v>
      </c>
      <c r="W845" t="s">
        <v>36</v>
      </c>
    </row>
    <row r="846" spans="1:23" x14ac:dyDescent="0.25">
      <c r="A846">
        <v>849</v>
      </c>
      <c r="B846" t="s">
        <v>1178</v>
      </c>
      <c r="C846">
        <v>3192000</v>
      </c>
      <c r="D846" t="s">
        <v>128</v>
      </c>
      <c r="E846" t="s">
        <v>129</v>
      </c>
      <c r="F846" t="s">
        <v>107</v>
      </c>
      <c r="G846" t="s">
        <v>1027</v>
      </c>
      <c r="H846">
        <v>2008</v>
      </c>
      <c r="I846" t="s">
        <v>97</v>
      </c>
      <c r="J846" t="s">
        <v>43</v>
      </c>
      <c r="L846">
        <v>3500</v>
      </c>
      <c r="M846" t="s">
        <v>44</v>
      </c>
      <c r="N846" t="s">
        <v>30</v>
      </c>
      <c r="O846" t="s">
        <v>1179</v>
      </c>
      <c r="P846" t="s">
        <v>73</v>
      </c>
      <c r="Q846" t="s">
        <v>33</v>
      </c>
      <c r="R846">
        <v>5</v>
      </c>
      <c r="S846">
        <v>6</v>
      </c>
      <c r="T846">
        <v>250</v>
      </c>
      <c r="U846" t="s">
        <v>610</v>
      </c>
      <c r="V846" t="s">
        <v>35</v>
      </c>
      <c r="W846" t="s">
        <v>36</v>
      </c>
    </row>
    <row r="847" spans="1:23" x14ac:dyDescent="0.25">
      <c r="A847">
        <v>850</v>
      </c>
      <c r="B847" t="s">
        <v>1180</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25">
      <c r="A848">
        <v>851</v>
      </c>
      <c r="B848" t="s">
        <v>1181</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25">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25">
      <c r="A850">
        <v>853</v>
      </c>
      <c r="B850" t="s">
        <v>1182</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25">
      <c r="A851">
        <v>854</v>
      </c>
      <c r="B851" t="s">
        <v>1183</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25">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25">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25">
      <c r="A854">
        <v>857</v>
      </c>
      <c r="B854" t="s">
        <v>950</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25">
      <c r="A855">
        <v>858</v>
      </c>
      <c r="B855" t="s">
        <v>1184</v>
      </c>
      <c r="C855">
        <v>2730000</v>
      </c>
      <c r="D855" t="s">
        <v>38</v>
      </c>
      <c r="E855" t="s">
        <v>92</v>
      </c>
      <c r="F855" t="s">
        <v>301</v>
      </c>
      <c r="G855" t="s">
        <v>1185</v>
      </c>
      <c r="H855">
        <v>2006</v>
      </c>
      <c r="I855" t="s">
        <v>28</v>
      </c>
      <c r="J855" t="s">
        <v>29</v>
      </c>
      <c r="K855">
        <v>27179</v>
      </c>
      <c r="L855">
        <v>1600</v>
      </c>
      <c r="M855" t="s">
        <v>30</v>
      </c>
      <c r="N855" t="s">
        <v>30</v>
      </c>
      <c r="O855" t="s">
        <v>33</v>
      </c>
      <c r="P855" t="s">
        <v>33</v>
      </c>
      <c r="Q855" t="s">
        <v>33</v>
      </c>
      <c r="U855" t="s">
        <v>33</v>
      </c>
      <c r="V855" t="s">
        <v>35</v>
      </c>
      <c r="W855" t="s">
        <v>200</v>
      </c>
    </row>
    <row r="856" spans="1:23" x14ac:dyDescent="0.25">
      <c r="A856">
        <v>859</v>
      </c>
      <c r="B856" t="s">
        <v>1186</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25">
      <c r="A857">
        <v>860</v>
      </c>
      <c r="B857" t="s">
        <v>1187</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25">
      <c r="A858">
        <v>861</v>
      </c>
      <c r="B858" t="s">
        <v>1188</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1189</v>
      </c>
      <c r="V858" t="s">
        <v>35</v>
      </c>
      <c r="W858" t="s">
        <v>36</v>
      </c>
    </row>
    <row r="859" spans="1:23" x14ac:dyDescent="0.25">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1190</v>
      </c>
      <c r="U859" t="s">
        <v>33</v>
      </c>
      <c r="V859" t="s">
        <v>35</v>
      </c>
      <c r="W859" t="s">
        <v>36</v>
      </c>
    </row>
    <row r="860" spans="1:23" x14ac:dyDescent="0.25">
      <c r="A860">
        <v>863</v>
      </c>
      <c r="B860" t="s">
        <v>1191</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25">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25">
      <c r="A862">
        <v>865</v>
      </c>
      <c r="B862" t="s">
        <v>1192</v>
      </c>
      <c r="C862">
        <v>2730000</v>
      </c>
      <c r="D862" t="s">
        <v>128</v>
      </c>
      <c r="E862" t="s">
        <v>129</v>
      </c>
      <c r="F862" t="s">
        <v>478</v>
      </c>
      <c r="G862" t="s">
        <v>1193</v>
      </c>
      <c r="H862">
        <v>2006</v>
      </c>
      <c r="I862" t="s">
        <v>60</v>
      </c>
      <c r="J862" t="s">
        <v>43</v>
      </c>
      <c r="K862">
        <v>12190</v>
      </c>
      <c r="L862">
        <v>3600</v>
      </c>
      <c r="M862" t="s">
        <v>44</v>
      </c>
      <c r="N862" t="s">
        <v>30</v>
      </c>
      <c r="O862" t="s">
        <v>1194</v>
      </c>
      <c r="P862" t="s">
        <v>375</v>
      </c>
      <c r="Q862" t="s">
        <v>74</v>
      </c>
      <c r="R862">
        <v>5</v>
      </c>
      <c r="S862">
        <v>6</v>
      </c>
      <c r="T862">
        <v>280</v>
      </c>
      <c r="U862" t="s">
        <v>34</v>
      </c>
      <c r="V862" t="s">
        <v>35</v>
      </c>
      <c r="W862" t="s">
        <v>36</v>
      </c>
    </row>
    <row r="863" spans="1:23" x14ac:dyDescent="0.25">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25">
      <c r="A864">
        <v>867</v>
      </c>
      <c r="B864" t="s">
        <v>1195</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25">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25">
      <c r="A866">
        <v>869</v>
      </c>
      <c r="B866" t="s">
        <v>1196</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25">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25">
      <c r="A868">
        <v>871</v>
      </c>
      <c r="B868" t="s">
        <v>1197</v>
      </c>
      <c r="C868">
        <v>2320500</v>
      </c>
      <c r="D868" t="s">
        <v>38</v>
      </c>
      <c r="E868" t="s">
        <v>65</v>
      </c>
      <c r="F868" t="s">
        <v>107</v>
      </c>
      <c r="G868" t="s">
        <v>108</v>
      </c>
      <c r="H868">
        <v>2009</v>
      </c>
      <c r="I868" t="s">
        <v>28</v>
      </c>
      <c r="J868" t="s">
        <v>43</v>
      </c>
      <c r="K868">
        <v>18365</v>
      </c>
      <c r="L868">
        <v>2400</v>
      </c>
      <c r="M868" t="s">
        <v>44</v>
      </c>
      <c r="N868" t="s">
        <v>44</v>
      </c>
      <c r="O868" t="s">
        <v>33</v>
      </c>
      <c r="P868" t="s">
        <v>33</v>
      </c>
      <c r="Q868" t="s">
        <v>1198</v>
      </c>
      <c r="U868" t="s">
        <v>33</v>
      </c>
      <c r="V868" t="s">
        <v>35</v>
      </c>
      <c r="W868" t="s">
        <v>36</v>
      </c>
    </row>
    <row r="869" spans="1:23" x14ac:dyDescent="0.25">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25">
      <c r="A870">
        <v>873</v>
      </c>
      <c r="B870" t="s">
        <v>1199</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25">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25">
      <c r="A872">
        <v>875</v>
      </c>
      <c r="B872" t="s">
        <v>1200</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25">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25">
      <c r="A874">
        <v>877</v>
      </c>
      <c r="B874" t="s">
        <v>1150</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25">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25">
      <c r="A876">
        <v>879</v>
      </c>
      <c r="B876" t="s">
        <v>1201</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25">
      <c r="A877">
        <v>880</v>
      </c>
      <c r="B877" t="s">
        <v>1202</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25">
      <c r="A878">
        <v>881</v>
      </c>
      <c r="B878" t="s">
        <v>1203</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25">
      <c r="A879">
        <v>882</v>
      </c>
      <c r="B879" t="s">
        <v>1204</v>
      </c>
      <c r="C879">
        <v>3885000</v>
      </c>
      <c r="D879" t="s">
        <v>38</v>
      </c>
      <c r="E879" t="s">
        <v>92</v>
      </c>
      <c r="F879" t="s">
        <v>237</v>
      </c>
      <c r="G879" t="s">
        <v>1205</v>
      </c>
      <c r="H879">
        <v>2011</v>
      </c>
      <c r="I879" t="s">
        <v>50</v>
      </c>
      <c r="J879" t="s">
        <v>43</v>
      </c>
      <c r="K879">
        <v>19505</v>
      </c>
      <c r="L879">
        <v>2400</v>
      </c>
      <c r="M879" t="s">
        <v>44</v>
      </c>
      <c r="N879" t="s">
        <v>44</v>
      </c>
      <c r="O879" t="s">
        <v>33</v>
      </c>
      <c r="P879" t="s">
        <v>33</v>
      </c>
      <c r="Q879" t="s">
        <v>55</v>
      </c>
      <c r="U879" t="s">
        <v>45</v>
      </c>
      <c r="V879" t="s">
        <v>35</v>
      </c>
      <c r="W879" t="s">
        <v>36</v>
      </c>
    </row>
    <row r="880" spans="1:23" x14ac:dyDescent="0.25">
      <c r="A880">
        <v>883</v>
      </c>
      <c r="B880" t="s">
        <v>1206</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25">
      <c r="A881">
        <v>884</v>
      </c>
      <c r="B881" t="s">
        <v>1207</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25">
      <c r="A882">
        <v>885</v>
      </c>
      <c r="B882" t="s">
        <v>1208</v>
      </c>
      <c r="C882">
        <v>22575000</v>
      </c>
      <c r="D882" t="s">
        <v>24</v>
      </c>
      <c r="E882" t="s">
        <v>784</v>
      </c>
      <c r="F882" t="s">
        <v>48</v>
      </c>
      <c r="G882" t="s">
        <v>1209</v>
      </c>
      <c r="H882">
        <v>2009</v>
      </c>
      <c r="I882" t="s">
        <v>60</v>
      </c>
      <c r="J882" t="s">
        <v>43</v>
      </c>
      <c r="K882">
        <v>80101</v>
      </c>
      <c r="L882">
        <v>4700</v>
      </c>
      <c r="M882" t="s">
        <v>44</v>
      </c>
      <c r="N882" t="s">
        <v>30</v>
      </c>
      <c r="O882" t="s">
        <v>33</v>
      </c>
      <c r="P882" t="s">
        <v>33</v>
      </c>
      <c r="Q882" t="s">
        <v>74</v>
      </c>
      <c r="U882" t="s">
        <v>45</v>
      </c>
      <c r="V882" t="s">
        <v>35</v>
      </c>
      <c r="W882" t="s">
        <v>36</v>
      </c>
    </row>
    <row r="883" spans="1:23" x14ac:dyDescent="0.25">
      <c r="A883">
        <v>886</v>
      </c>
      <c r="B883" t="s">
        <v>1210</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1189</v>
      </c>
      <c r="V883" t="s">
        <v>35</v>
      </c>
      <c r="W883" t="s">
        <v>36</v>
      </c>
    </row>
    <row r="884" spans="1:23" x14ac:dyDescent="0.25">
      <c r="A884">
        <v>887</v>
      </c>
      <c r="B884" t="s">
        <v>1211</v>
      </c>
      <c r="C884">
        <v>2940000</v>
      </c>
      <c r="D884" t="s">
        <v>24</v>
      </c>
      <c r="E884" t="s">
        <v>25</v>
      </c>
      <c r="F884" t="s">
        <v>294</v>
      </c>
      <c r="G884" t="s">
        <v>738</v>
      </c>
      <c r="H884">
        <v>2008</v>
      </c>
      <c r="I884" t="s">
        <v>97</v>
      </c>
      <c r="J884" t="s">
        <v>43</v>
      </c>
      <c r="K884">
        <v>26582</v>
      </c>
      <c r="L884">
        <v>3700</v>
      </c>
      <c r="M884" t="s">
        <v>44</v>
      </c>
      <c r="N884" t="s">
        <v>44</v>
      </c>
      <c r="O884" t="s">
        <v>1212</v>
      </c>
      <c r="P884" t="s">
        <v>32</v>
      </c>
      <c r="Q884" t="s">
        <v>74</v>
      </c>
      <c r="R884">
        <v>7</v>
      </c>
      <c r="S884">
        <v>6</v>
      </c>
      <c r="T884">
        <v>275</v>
      </c>
      <c r="U884" t="s">
        <v>45</v>
      </c>
      <c r="V884" t="s">
        <v>35</v>
      </c>
      <c r="W884" t="s">
        <v>36</v>
      </c>
    </row>
    <row r="885" spans="1:23" x14ac:dyDescent="0.25">
      <c r="A885">
        <v>888</v>
      </c>
      <c r="B885" t="s">
        <v>1213</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25">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25">
      <c r="A887">
        <v>890</v>
      </c>
      <c r="B887" t="s">
        <v>1214</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25">
      <c r="A888">
        <v>891</v>
      </c>
      <c r="B888" t="s">
        <v>1215</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25">
      <c r="A889">
        <v>892</v>
      </c>
      <c r="B889" t="s">
        <v>1216</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25">
      <c r="A890">
        <v>893</v>
      </c>
      <c r="B890" t="s">
        <v>1217</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25">
      <c r="A891">
        <v>894</v>
      </c>
      <c r="B891" t="s">
        <v>1218</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25">
      <c r="A892">
        <v>895</v>
      </c>
      <c r="B892" t="s">
        <v>1219</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25">
      <c r="A893">
        <v>896</v>
      </c>
      <c r="B893" t="s">
        <v>1220</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25">
      <c r="A894">
        <v>897</v>
      </c>
      <c r="B894" t="s">
        <v>1221</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25">
      <c r="A895">
        <v>898</v>
      </c>
      <c r="B895" t="s">
        <v>1222</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25">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25">
      <c r="A897">
        <v>900</v>
      </c>
      <c r="B897" t="s">
        <v>1223</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25">
      <c r="A898">
        <v>901</v>
      </c>
      <c r="B898" t="s">
        <v>1224</v>
      </c>
      <c r="C898">
        <v>6825000</v>
      </c>
      <c r="D898" t="s">
        <v>128</v>
      </c>
      <c r="E898" t="s">
        <v>129</v>
      </c>
      <c r="F898" t="s">
        <v>48</v>
      </c>
      <c r="G898" t="s">
        <v>53</v>
      </c>
      <c r="H898">
        <v>2015</v>
      </c>
      <c r="I898" t="s">
        <v>50</v>
      </c>
      <c r="J898" t="s">
        <v>43</v>
      </c>
      <c r="K898">
        <v>10544</v>
      </c>
      <c r="L898">
        <v>1800</v>
      </c>
      <c r="M898" t="s">
        <v>44</v>
      </c>
      <c r="N898" t="s">
        <v>30</v>
      </c>
      <c r="O898" t="s">
        <v>1225</v>
      </c>
      <c r="P898" t="s">
        <v>67</v>
      </c>
      <c r="Q898" t="s">
        <v>74</v>
      </c>
      <c r="S898">
        <v>4</v>
      </c>
      <c r="T898">
        <v>132</v>
      </c>
      <c r="U898" t="s">
        <v>34</v>
      </c>
      <c r="V898" t="s">
        <v>35</v>
      </c>
      <c r="W898" t="s">
        <v>340</v>
      </c>
    </row>
    <row r="899" spans="1:23" x14ac:dyDescent="0.25">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25">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25">
      <c r="A901">
        <v>904</v>
      </c>
      <c r="B901" t="s">
        <v>1226</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25">
      <c r="A902">
        <v>905</v>
      </c>
      <c r="B902" t="s">
        <v>1227</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25">
      <c r="A903">
        <v>906</v>
      </c>
      <c r="B903" t="s">
        <v>1228</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25">
      <c r="A904">
        <v>907</v>
      </c>
      <c r="B904" t="s">
        <v>1229</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25">
      <c r="A905">
        <v>908</v>
      </c>
      <c r="B905" t="s">
        <v>1230</v>
      </c>
      <c r="C905">
        <v>1785000</v>
      </c>
      <c r="D905" t="s">
        <v>24</v>
      </c>
      <c r="E905" t="s">
        <v>57</v>
      </c>
      <c r="F905" t="s">
        <v>48</v>
      </c>
      <c r="G905" t="s">
        <v>317</v>
      </c>
      <c r="H905">
        <v>2010</v>
      </c>
      <c r="I905" t="s">
        <v>50</v>
      </c>
      <c r="J905" t="s">
        <v>43</v>
      </c>
      <c r="K905">
        <v>16283</v>
      </c>
      <c r="L905">
        <v>2000</v>
      </c>
      <c r="M905" t="s">
        <v>44</v>
      </c>
      <c r="N905" t="s">
        <v>44</v>
      </c>
      <c r="O905" t="s">
        <v>1231</v>
      </c>
      <c r="P905" t="s">
        <v>32</v>
      </c>
      <c r="Q905" t="s">
        <v>74</v>
      </c>
      <c r="R905">
        <v>5</v>
      </c>
      <c r="S905">
        <v>4</v>
      </c>
      <c r="T905">
        <v>147</v>
      </c>
      <c r="U905" t="s">
        <v>34</v>
      </c>
      <c r="V905" t="s">
        <v>35</v>
      </c>
      <c r="W905" t="s">
        <v>36</v>
      </c>
    </row>
    <row r="906" spans="1:23" x14ac:dyDescent="0.25">
      <c r="A906">
        <v>909</v>
      </c>
      <c r="B906" t="s">
        <v>1232</v>
      </c>
      <c r="C906">
        <v>945000</v>
      </c>
      <c r="D906" t="s">
        <v>157</v>
      </c>
      <c r="E906" t="s">
        <v>158</v>
      </c>
      <c r="F906" t="s">
        <v>130</v>
      </c>
      <c r="G906" t="s">
        <v>419</v>
      </c>
      <c r="H906">
        <v>2007</v>
      </c>
      <c r="I906" t="s">
        <v>60</v>
      </c>
      <c r="J906" t="s">
        <v>43</v>
      </c>
      <c r="K906">
        <v>22159</v>
      </c>
      <c r="L906">
        <v>2000</v>
      </c>
      <c r="M906" t="s">
        <v>44</v>
      </c>
      <c r="N906" t="s">
        <v>44</v>
      </c>
      <c r="O906" t="s">
        <v>1233</v>
      </c>
      <c r="P906" t="s">
        <v>32</v>
      </c>
      <c r="Q906" t="s">
        <v>831</v>
      </c>
      <c r="S906">
        <v>4</v>
      </c>
      <c r="U906" t="s">
        <v>34</v>
      </c>
      <c r="V906" t="s">
        <v>35</v>
      </c>
      <c r="W906" t="s">
        <v>36</v>
      </c>
    </row>
    <row r="907" spans="1:23" x14ac:dyDescent="0.25">
      <c r="A907">
        <v>910</v>
      </c>
      <c r="B907" t="s">
        <v>1213</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25">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25">
      <c r="A909">
        <v>912</v>
      </c>
      <c r="B909" t="s">
        <v>1234</v>
      </c>
      <c r="C909">
        <v>17325000</v>
      </c>
      <c r="D909" t="s">
        <v>24</v>
      </c>
      <c r="E909" t="s">
        <v>47</v>
      </c>
      <c r="F909" t="s">
        <v>48</v>
      </c>
      <c r="G909" t="s">
        <v>1209</v>
      </c>
      <c r="H909">
        <v>2011</v>
      </c>
      <c r="I909" t="s">
        <v>50</v>
      </c>
      <c r="J909" t="s">
        <v>43</v>
      </c>
      <c r="K909">
        <v>11980</v>
      </c>
      <c r="L909">
        <v>4700</v>
      </c>
      <c r="M909" t="s">
        <v>44</v>
      </c>
      <c r="N909" t="s">
        <v>44</v>
      </c>
      <c r="O909" t="s">
        <v>33</v>
      </c>
      <c r="P909" t="s">
        <v>33</v>
      </c>
      <c r="Q909" t="s">
        <v>74</v>
      </c>
      <c r="U909" t="s">
        <v>45</v>
      </c>
      <c r="V909" t="s">
        <v>35</v>
      </c>
      <c r="W909" t="s">
        <v>36</v>
      </c>
    </row>
    <row r="910" spans="1:23" x14ac:dyDescent="0.25">
      <c r="A910">
        <v>913</v>
      </c>
      <c r="B910" t="s">
        <v>1235</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25">
      <c r="A911">
        <v>914</v>
      </c>
      <c r="B911" t="s">
        <v>1236</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25">
      <c r="A912">
        <v>915</v>
      </c>
      <c r="B912" t="s">
        <v>1215</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25">
      <c r="A913">
        <v>916</v>
      </c>
      <c r="B913" t="s">
        <v>1237</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25">
      <c r="A914">
        <v>917</v>
      </c>
      <c r="B914" t="s">
        <v>1238</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25">
      <c r="A915">
        <v>918</v>
      </c>
      <c r="B915" t="s">
        <v>1239</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25">
      <c r="A916">
        <v>919</v>
      </c>
      <c r="B916" t="s">
        <v>1240</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25">
      <c r="A917">
        <v>920</v>
      </c>
      <c r="B917" t="s">
        <v>1241</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25">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25">
      <c r="A919">
        <v>922</v>
      </c>
      <c r="B919" t="s">
        <v>1242</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25">
      <c r="A920">
        <v>923</v>
      </c>
      <c r="B920" t="s">
        <v>1243</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25">
      <c r="A921">
        <v>924</v>
      </c>
      <c r="B921" t="s">
        <v>1244</v>
      </c>
      <c r="C921">
        <v>2640000</v>
      </c>
      <c r="D921" t="s">
        <v>110</v>
      </c>
      <c r="E921" t="s">
        <v>111</v>
      </c>
      <c r="F921" t="s">
        <v>135</v>
      </c>
      <c r="G921" t="s">
        <v>1245</v>
      </c>
      <c r="H921">
        <v>2006</v>
      </c>
      <c r="I921" t="s">
        <v>63</v>
      </c>
      <c r="J921" t="s">
        <v>43</v>
      </c>
      <c r="K921">
        <v>28435</v>
      </c>
      <c r="L921">
        <v>3200</v>
      </c>
      <c r="M921" t="s">
        <v>44</v>
      </c>
      <c r="N921" t="s">
        <v>44</v>
      </c>
      <c r="O921" t="s">
        <v>33</v>
      </c>
      <c r="P921" t="s">
        <v>33</v>
      </c>
      <c r="Q921" t="s">
        <v>33</v>
      </c>
      <c r="U921" t="s">
        <v>33</v>
      </c>
      <c r="V921" t="s">
        <v>35</v>
      </c>
      <c r="W921" t="s">
        <v>36</v>
      </c>
    </row>
    <row r="922" spans="1:23" x14ac:dyDescent="0.25">
      <c r="A922">
        <v>925</v>
      </c>
      <c r="B922" t="s">
        <v>1246</v>
      </c>
      <c r="C922">
        <v>6090000</v>
      </c>
      <c r="D922" t="s">
        <v>24</v>
      </c>
      <c r="E922" t="s">
        <v>99</v>
      </c>
      <c r="F922" t="s">
        <v>207</v>
      </c>
      <c r="G922" t="s">
        <v>1247</v>
      </c>
      <c r="H922">
        <v>2010</v>
      </c>
      <c r="I922" t="s">
        <v>28</v>
      </c>
      <c r="J922" t="s">
        <v>29</v>
      </c>
      <c r="K922">
        <v>14711</v>
      </c>
      <c r="L922">
        <v>2400</v>
      </c>
      <c r="M922" t="s">
        <v>30</v>
      </c>
      <c r="N922" t="s">
        <v>30</v>
      </c>
      <c r="O922" t="s">
        <v>1248</v>
      </c>
      <c r="P922" t="s">
        <v>32</v>
      </c>
      <c r="Q922" t="s">
        <v>33</v>
      </c>
      <c r="R922">
        <v>5</v>
      </c>
      <c r="S922">
        <v>4</v>
      </c>
      <c r="T922">
        <v>185</v>
      </c>
      <c r="U922" t="s">
        <v>45</v>
      </c>
      <c r="V922" t="s">
        <v>35</v>
      </c>
      <c r="W922" t="s">
        <v>36</v>
      </c>
    </row>
    <row r="923" spans="1:23" x14ac:dyDescent="0.25">
      <c r="A923">
        <v>926</v>
      </c>
      <c r="B923" t="s">
        <v>1249</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25">
      <c r="A924">
        <v>927</v>
      </c>
      <c r="B924" t="s">
        <v>1250</v>
      </c>
      <c r="C924">
        <v>5985000</v>
      </c>
      <c r="D924" t="s">
        <v>157</v>
      </c>
      <c r="E924" t="s">
        <v>158</v>
      </c>
      <c r="F924" t="s">
        <v>135</v>
      </c>
      <c r="G924" t="s">
        <v>362</v>
      </c>
      <c r="H924">
        <v>2013</v>
      </c>
      <c r="I924" t="s">
        <v>97</v>
      </c>
      <c r="J924" t="s">
        <v>29</v>
      </c>
      <c r="K924">
        <v>16578</v>
      </c>
      <c r="L924">
        <v>2500</v>
      </c>
      <c r="M924" t="s">
        <v>30</v>
      </c>
      <c r="N924" t="s">
        <v>30</v>
      </c>
      <c r="O924" t="s">
        <v>1251</v>
      </c>
      <c r="P924" t="s">
        <v>32</v>
      </c>
      <c r="Q924" t="s">
        <v>33</v>
      </c>
      <c r="R924">
        <v>5</v>
      </c>
      <c r="S924">
        <v>5</v>
      </c>
      <c r="T924">
        <v>170</v>
      </c>
      <c r="U924" t="s">
        <v>34</v>
      </c>
      <c r="V924" t="s">
        <v>35</v>
      </c>
      <c r="W924" t="s">
        <v>36</v>
      </c>
    </row>
    <row r="925" spans="1:23" x14ac:dyDescent="0.25">
      <c r="A925">
        <v>928</v>
      </c>
      <c r="B925" t="s">
        <v>1252</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25">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25">
      <c r="A927">
        <v>930</v>
      </c>
      <c r="B927" t="s">
        <v>1253</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25">
      <c r="A928">
        <v>931</v>
      </c>
      <c r="B928" t="s">
        <v>1254</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25">
      <c r="A929">
        <v>932</v>
      </c>
      <c r="B929" t="s">
        <v>1255</v>
      </c>
      <c r="C929">
        <v>2100000</v>
      </c>
      <c r="D929" t="s">
        <v>157</v>
      </c>
      <c r="E929" t="s">
        <v>158</v>
      </c>
      <c r="F929" t="s">
        <v>252</v>
      </c>
      <c r="G929" t="s">
        <v>1256</v>
      </c>
      <c r="H929">
        <v>2006</v>
      </c>
      <c r="I929" t="s">
        <v>60</v>
      </c>
      <c r="J929" t="s">
        <v>43</v>
      </c>
      <c r="K929">
        <v>17879</v>
      </c>
      <c r="L929">
        <v>2500</v>
      </c>
      <c r="M929" t="s">
        <v>44</v>
      </c>
      <c r="N929" t="s">
        <v>44</v>
      </c>
      <c r="O929" t="s">
        <v>1257</v>
      </c>
      <c r="P929" t="s">
        <v>32</v>
      </c>
      <c r="Q929" t="s">
        <v>74</v>
      </c>
      <c r="R929">
        <v>5</v>
      </c>
      <c r="S929">
        <v>5</v>
      </c>
      <c r="T929">
        <v>179</v>
      </c>
      <c r="U929" t="s">
        <v>34</v>
      </c>
      <c r="V929" t="s">
        <v>35</v>
      </c>
      <c r="W929" t="s">
        <v>36</v>
      </c>
    </row>
    <row r="930" spans="1:23" x14ac:dyDescent="0.25">
      <c r="A930">
        <v>933</v>
      </c>
      <c r="B930" t="s">
        <v>1258</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25">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25">
      <c r="A932">
        <v>935</v>
      </c>
      <c r="B932" t="s">
        <v>1259</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25">
      <c r="A933">
        <v>936</v>
      </c>
      <c r="B933" t="s">
        <v>1260</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25">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25">
      <c r="A935">
        <v>938</v>
      </c>
      <c r="B935" t="s">
        <v>1261</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25">
      <c r="A936">
        <v>939</v>
      </c>
      <c r="B936" t="s">
        <v>1262</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25">
      <c r="A937">
        <v>940</v>
      </c>
      <c r="B937" t="s">
        <v>1263</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25">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25">
      <c r="A939">
        <v>942</v>
      </c>
      <c r="B939" t="s">
        <v>1264</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25">
      <c r="A940">
        <v>943</v>
      </c>
      <c r="B940" t="s">
        <v>1067</v>
      </c>
      <c r="C940">
        <v>5250000</v>
      </c>
      <c r="D940" t="s">
        <v>359</v>
      </c>
      <c r="E940" t="s">
        <v>360</v>
      </c>
      <c r="F940" t="s">
        <v>48</v>
      </c>
      <c r="G940" t="s">
        <v>80</v>
      </c>
      <c r="H940">
        <v>2008</v>
      </c>
      <c r="I940" t="s">
        <v>60</v>
      </c>
      <c r="J940" t="s">
        <v>43</v>
      </c>
      <c r="K940">
        <v>28553</v>
      </c>
      <c r="L940">
        <v>3000</v>
      </c>
      <c r="M940" t="s">
        <v>44</v>
      </c>
      <c r="N940" t="s">
        <v>44</v>
      </c>
      <c r="O940" t="s">
        <v>33</v>
      </c>
      <c r="P940" t="s">
        <v>33</v>
      </c>
      <c r="Q940" t="s">
        <v>1265</v>
      </c>
      <c r="U940" t="s">
        <v>33</v>
      </c>
      <c r="V940" t="s">
        <v>35</v>
      </c>
      <c r="W940" t="s">
        <v>36</v>
      </c>
    </row>
    <row r="941" spans="1:23" x14ac:dyDescent="0.25">
      <c r="A941">
        <v>944</v>
      </c>
      <c r="B941" t="s">
        <v>1266</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25">
      <c r="A942">
        <v>945</v>
      </c>
      <c r="B942" t="s">
        <v>1267</v>
      </c>
      <c r="C942">
        <v>1139250</v>
      </c>
      <c r="D942" t="s">
        <v>24</v>
      </c>
      <c r="E942" t="s">
        <v>212</v>
      </c>
      <c r="F942" t="s">
        <v>202</v>
      </c>
      <c r="G942" t="s">
        <v>818</v>
      </c>
      <c r="H942">
        <v>2002</v>
      </c>
      <c r="I942" t="s">
        <v>28</v>
      </c>
      <c r="J942" t="s">
        <v>43</v>
      </c>
      <c r="K942">
        <v>21975</v>
      </c>
      <c r="L942">
        <v>3500</v>
      </c>
      <c r="M942" t="s">
        <v>44</v>
      </c>
      <c r="N942" t="s">
        <v>30</v>
      </c>
      <c r="O942" t="s">
        <v>1268</v>
      </c>
      <c r="P942" t="s">
        <v>214</v>
      </c>
      <c r="Q942" t="s">
        <v>74</v>
      </c>
      <c r="R942">
        <v>5</v>
      </c>
      <c r="S942">
        <v>6</v>
      </c>
      <c r="T942">
        <v>170</v>
      </c>
      <c r="U942" t="s">
        <v>45</v>
      </c>
      <c r="V942" t="s">
        <v>35</v>
      </c>
      <c r="W942" t="s">
        <v>36</v>
      </c>
    </row>
    <row r="943" spans="1:23" x14ac:dyDescent="0.25">
      <c r="A943">
        <v>946</v>
      </c>
      <c r="B943" t="s">
        <v>1159</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25">
      <c r="A944">
        <v>947</v>
      </c>
      <c r="B944" t="s">
        <v>1269</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25">
      <c r="A945">
        <v>948</v>
      </c>
      <c r="B945" t="s">
        <v>1270</v>
      </c>
      <c r="C945">
        <v>1260000</v>
      </c>
      <c r="D945" t="s">
        <v>38</v>
      </c>
      <c r="E945" t="s">
        <v>155</v>
      </c>
      <c r="F945" t="s">
        <v>301</v>
      </c>
      <c r="G945" t="s">
        <v>973</v>
      </c>
      <c r="H945">
        <v>2004</v>
      </c>
      <c r="I945" t="s">
        <v>63</v>
      </c>
      <c r="J945" t="s">
        <v>43</v>
      </c>
      <c r="L945">
        <v>2000</v>
      </c>
      <c r="M945" t="s">
        <v>44</v>
      </c>
      <c r="N945" t="s">
        <v>44</v>
      </c>
      <c r="O945" t="s">
        <v>33</v>
      </c>
      <c r="P945" t="s">
        <v>33</v>
      </c>
      <c r="Q945" t="s">
        <v>33</v>
      </c>
      <c r="U945" t="s">
        <v>33</v>
      </c>
      <c r="V945" t="s">
        <v>35</v>
      </c>
      <c r="W945" t="s">
        <v>200</v>
      </c>
    </row>
    <row r="946" spans="1:23" x14ac:dyDescent="0.25">
      <c r="A946">
        <v>949</v>
      </c>
      <c r="B946" t="s">
        <v>1271</v>
      </c>
      <c r="C946">
        <v>6825000</v>
      </c>
      <c r="D946" t="s">
        <v>38</v>
      </c>
      <c r="E946" t="s">
        <v>86</v>
      </c>
      <c r="F946" t="s">
        <v>588</v>
      </c>
      <c r="G946" t="s">
        <v>1272</v>
      </c>
      <c r="H946">
        <v>2011</v>
      </c>
      <c r="I946" t="s">
        <v>60</v>
      </c>
      <c r="J946" t="s">
        <v>43</v>
      </c>
      <c r="K946">
        <v>57171</v>
      </c>
      <c r="L946">
        <v>3500</v>
      </c>
      <c r="M946" t="s">
        <v>44</v>
      </c>
      <c r="N946" t="s">
        <v>44</v>
      </c>
      <c r="O946" t="s">
        <v>33</v>
      </c>
      <c r="P946" t="s">
        <v>33</v>
      </c>
      <c r="Q946" t="s">
        <v>922</v>
      </c>
      <c r="U946" t="s">
        <v>33</v>
      </c>
      <c r="V946" t="s">
        <v>35</v>
      </c>
      <c r="W946" t="s">
        <v>36</v>
      </c>
    </row>
    <row r="947" spans="1:23" x14ac:dyDescent="0.25">
      <c r="A947">
        <v>950</v>
      </c>
      <c r="B947" t="s">
        <v>1077</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25">
      <c r="A948">
        <v>951</v>
      </c>
      <c r="B948" t="s">
        <v>1273</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932</v>
      </c>
      <c r="V948" t="s">
        <v>35</v>
      </c>
      <c r="W948" t="s">
        <v>36</v>
      </c>
    </row>
    <row r="949" spans="1:23" x14ac:dyDescent="0.25">
      <c r="A949">
        <v>952</v>
      </c>
      <c r="B949" t="s">
        <v>1274</v>
      </c>
      <c r="C949">
        <v>3120000</v>
      </c>
      <c r="D949" t="s">
        <v>38</v>
      </c>
      <c r="E949" t="s">
        <v>86</v>
      </c>
      <c r="F949" t="s">
        <v>48</v>
      </c>
      <c r="G949" t="s">
        <v>240</v>
      </c>
      <c r="H949">
        <v>2000</v>
      </c>
      <c r="I949" t="s">
        <v>42</v>
      </c>
      <c r="J949" t="s">
        <v>43</v>
      </c>
      <c r="K949">
        <v>21595</v>
      </c>
      <c r="L949">
        <v>3000</v>
      </c>
      <c r="M949" t="s">
        <v>44</v>
      </c>
      <c r="N949" t="s">
        <v>30</v>
      </c>
      <c r="O949" t="s">
        <v>33</v>
      </c>
      <c r="P949" t="s">
        <v>33</v>
      </c>
      <c r="Q949" t="s">
        <v>1275</v>
      </c>
      <c r="U949" t="s">
        <v>33</v>
      </c>
      <c r="V949" t="s">
        <v>35</v>
      </c>
      <c r="W949" t="s">
        <v>36</v>
      </c>
    </row>
    <row r="950" spans="1:23" x14ac:dyDescent="0.25">
      <c r="A950">
        <v>953</v>
      </c>
      <c r="B950" t="s">
        <v>1276</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25">
      <c r="A951">
        <v>954</v>
      </c>
      <c r="B951" t="s">
        <v>1277</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25">
      <c r="A952">
        <v>955</v>
      </c>
      <c r="B952" t="s">
        <v>1278</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25">
      <c r="A953">
        <v>956</v>
      </c>
      <c r="B953" t="s">
        <v>1279</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25">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25">
      <c r="A955">
        <v>958</v>
      </c>
      <c r="B955" t="s">
        <v>1280</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25">
      <c r="A956">
        <v>959</v>
      </c>
      <c r="B956" t="s">
        <v>1281</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25">
      <c r="A957">
        <v>960</v>
      </c>
      <c r="B957" t="s">
        <v>1282</v>
      </c>
      <c r="C957">
        <v>735000</v>
      </c>
      <c r="D957" t="s">
        <v>101</v>
      </c>
      <c r="E957" t="s">
        <v>102</v>
      </c>
      <c r="F957" t="s">
        <v>202</v>
      </c>
      <c r="G957" t="s">
        <v>1283</v>
      </c>
      <c r="H957">
        <v>1999</v>
      </c>
      <c r="I957" t="s">
        <v>28</v>
      </c>
      <c r="J957" t="s">
        <v>43</v>
      </c>
      <c r="K957">
        <v>19306</v>
      </c>
      <c r="L957">
        <v>3300</v>
      </c>
      <c r="M957" t="s">
        <v>44</v>
      </c>
      <c r="N957" t="s">
        <v>44</v>
      </c>
      <c r="O957" t="s">
        <v>33</v>
      </c>
      <c r="P957" t="s">
        <v>33</v>
      </c>
      <c r="Q957" t="s">
        <v>33</v>
      </c>
      <c r="U957" t="s">
        <v>33</v>
      </c>
      <c r="V957" t="s">
        <v>35</v>
      </c>
      <c r="W957" t="s">
        <v>36</v>
      </c>
    </row>
    <row r="958" spans="1:23" x14ac:dyDescent="0.25">
      <c r="A958">
        <v>961</v>
      </c>
      <c r="B958" t="s">
        <v>1284</v>
      </c>
      <c r="C958">
        <v>2520000</v>
      </c>
      <c r="D958" t="s">
        <v>24</v>
      </c>
      <c r="E958" t="s">
        <v>194</v>
      </c>
      <c r="F958" t="s">
        <v>69</v>
      </c>
      <c r="G958" t="s">
        <v>1011</v>
      </c>
      <c r="H958">
        <v>2006</v>
      </c>
      <c r="I958" t="s">
        <v>50</v>
      </c>
      <c r="J958" t="s">
        <v>43</v>
      </c>
      <c r="K958">
        <v>16369</v>
      </c>
      <c r="L958">
        <v>5400</v>
      </c>
      <c r="M958" t="s">
        <v>44</v>
      </c>
      <c r="N958" t="s">
        <v>44</v>
      </c>
      <c r="O958" t="s">
        <v>33</v>
      </c>
      <c r="P958" t="s">
        <v>33</v>
      </c>
      <c r="Q958" t="s">
        <v>24</v>
      </c>
      <c r="U958" t="s">
        <v>33</v>
      </c>
      <c r="V958" t="s">
        <v>35</v>
      </c>
      <c r="W958" t="s">
        <v>36</v>
      </c>
    </row>
    <row r="959" spans="1:23" x14ac:dyDescent="0.25">
      <c r="A959">
        <v>962</v>
      </c>
      <c r="B959" t="s">
        <v>1285</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25">
      <c r="A960">
        <v>963</v>
      </c>
      <c r="B960" t="s">
        <v>1286</v>
      </c>
      <c r="C960">
        <v>896000</v>
      </c>
      <c r="D960" t="s">
        <v>359</v>
      </c>
      <c r="E960" t="s">
        <v>360</v>
      </c>
      <c r="F960" t="s">
        <v>301</v>
      </c>
      <c r="G960" t="s">
        <v>973</v>
      </c>
      <c r="H960">
        <v>2000</v>
      </c>
      <c r="I960" t="s">
        <v>63</v>
      </c>
      <c r="J960" t="s">
        <v>43</v>
      </c>
      <c r="K960">
        <v>99999</v>
      </c>
      <c r="L960">
        <v>2000</v>
      </c>
      <c r="M960" t="s">
        <v>44</v>
      </c>
      <c r="N960" t="s">
        <v>44</v>
      </c>
      <c r="O960" t="s">
        <v>33</v>
      </c>
      <c r="P960" t="s">
        <v>33</v>
      </c>
      <c r="Q960" t="s">
        <v>120</v>
      </c>
      <c r="U960" t="s">
        <v>33</v>
      </c>
      <c r="V960" t="s">
        <v>35</v>
      </c>
      <c r="W960" t="s">
        <v>200</v>
      </c>
    </row>
    <row r="961" spans="1:23" x14ac:dyDescent="0.25">
      <c r="A961">
        <v>964</v>
      </c>
      <c r="B961" t="s">
        <v>1287</v>
      </c>
      <c r="C961">
        <v>19950000</v>
      </c>
      <c r="D961" t="s">
        <v>24</v>
      </c>
      <c r="E961" t="s">
        <v>25</v>
      </c>
      <c r="F961" t="s">
        <v>58</v>
      </c>
      <c r="G961" t="s">
        <v>1288</v>
      </c>
      <c r="H961">
        <v>2017</v>
      </c>
      <c r="I961" t="s">
        <v>42</v>
      </c>
      <c r="J961" t="s">
        <v>29</v>
      </c>
      <c r="K961">
        <v>11062</v>
      </c>
      <c r="L961">
        <v>3000</v>
      </c>
      <c r="M961" t="s">
        <v>30</v>
      </c>
      <c r="N961" t="s">
        <v>30</v>
      </c>
      <c r="O961" t="s">
        <v>33</v>
      </c>
      <c r="P961" t="s">
        <v>33</v>
      </c>
      <c r="Q961" t="s">
        <v>33</v>
      </c>
      <c r="U961" t="s">
        <v>45</v>
      </c>
      <c r="V961" t="s">
        <v>35</v>
      </c>
      <c r="W961" t="s">
        <v>36</v>
      </c>
    </row>
    <row r="962" spans="1:23" x14ac:dyDescent="0.25">
      <c r="A962">
        <v>965</v>
      </c>
      <c r="B962" t="s">
        <v>1289</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25">
      <c r="A963">
        <v>966</v>
      </c>
      <c r="B963" t="s">
        <v>1290</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25">
      <c r="A964">
        <v>967</v>
      </c>
      <c r="B964" t="s">
        <v>1291</v>
      </c>
      <c r="C964">
        <v>1470000</v>
      </c>
      <c r="D964" t="s">
        <v>24</v>
      </c>
      <c r="E964" t="s">
        <v>47</v>
      </c>
      <c r="F964" t="s">
        <v>118</v>
      </c>
      <c r="G964" t="s">
        <v>1292</v>
      </c>
      <c r="H964">
        <v>2006</v>
      </c>
      <c r="I964" t="s">
        <v>50</v>
      </c>
      <c r="J964" t="s">
        <v>43</v>
      </c>
      <c r="K964">
        <v>46533</v>
      </c>
      <c r="L964">
        <v>3000</v>
      </c>
      <c r="M964" t="s">
        <v>44</v>
      </c>
      <c r="N964" t="s">
        <v>44</v>
      </c>
      <c r="O964" t="s">
        <v>33</v>
      </c>
      <c r="P964" t="s">
        <v>33</v>
      </c>
      <c r="Q964" t="s">
        <v>74</v>
      </c>
      <c r="U964" t="s">
        <v>33</v>
      </c>
      <c r="V964" t="s">
        <v>35</v>
      </c>
      <c r="W964" t="s">
        <v>36</v>
      </c>
    </row>
    <row r="965" spans="1:23" x14ac:dyDescent="0.25">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25">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25">
      <c r="A967">
        <v>970</v>
      </c>
      <c r="B967" t="s">
        <v>1293</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25">
      <c r="A968">
        <v>971</v>
      </c>
      <c r="B968" t="s">
        <v>1294</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25">
      <c r="A969">
        <v>972</v>
      </c>
      <c r="B969" t="s">
        <v>1295</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25">
      <c r="A970">
        <v>973</v>
      </c>
      <c r="B970" t="s">
        <v>1296</v>
      </c>
      <c r="C970">
        <v>2100000</v>
      </c>
      <c r="D970" t="s">
        <v>24</v>
      </c>
      <c r="E970" t="s">
        <v>276</v>
      </c>
      <c r="F970" t="s">
        <v>118</v>
      </c>
      <c r="G970" t="s">
        <v>1292</v>
      </c>
      <c r="H970">
        <v>2005</v>
      </c>
      <c r="I970" t="s">
        <v>42</v>
      </c>
      <c r="J970" t="s">
        <v>43</v>
      </c>
      <c r="K970">
        <v>16962</v>
      </c>
      <c r="L970">
        <v>2500</v>
      </c>
      <c r="M970" t="s">
        <v>44</v>
      </c>
      <c r="N970" t="s">
        <v>30</v>
      </c>
      <c r="O970" t="s">
        <v>33</v>
      </c>
      <c r="P970" t="s">
        <v>33</v>
      </c>
      <c r="Q970" t="s">
        <v>33</v>
      </c>
      <c r="U970" t="s">
        <v>45</v>
      </c>
      <c r="V970" t="s">
        <v>35</v>
      </c>
      <c r="W970" t="s">
        <v>36</v>
      </c>
    </row>
    <row r="971" spans="1:23" x14ac:dyDescent="0.25">
      <c r="A971">
        <v>974</v>
      </c>
      <c r="B971" t="s">
        <v>1297</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25">
      <c r="A972">
        <v>975</v>
      </c>
      <c r="B972" t="s">
        <v>1298</v>
      </c>
      <c r="C972">
        <v>1680000</v>
      </c>
      <c r="D972" t="s">
        <v>24</v>
      </c>
      <c r="E972" t="s">
        <v>83</v>
      </c>
      <c r="F972" t="s">
        <v>461</v>
      </c>
      <c r="G972" t="s">
        <v>1299</v>
      </c>
      <c r="H972">
        <v>2005</v>
      </c>
      <c r="I972" t="s">
        <v>97</v>
      </c>
      <c r="J972" t="s">
        <v>43</v>
      </c>
      <c r="K972">
        <v>30593</v>
      </c>
      <c r="L972">
        <v>2400</v>
      </c>
      <c r="M972" t="s">
        <v>44</v>
      </c>
      <c r="N972" t="s">
        <v>30</v>
      </c>
      <c r="O972" t="s">
        <v>33</v>
      </c>
      <c r="P972" t="s">
        <v>33</v>
      </c>
      <c r="Q972" t="s">
        <v>74</v>
      </c>
      <c r="U972" t="s">
        <v>33</v>
      </c>
      <c r="V972" t="s">
        <v>35</v>
      </c>
      <c r="W972" t="s">
        <v>36</v>
      </c>
    </row>
    <row r="973" spans="1:23" x14ac:dyDescent="0.25">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25">
      <c r="A974">
        <v>977</v>
      </c>
      <c r="B974" t="s">
        <v>1300</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25">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25">
      <c r="A976">
        <v>979</v>
      </c>
      <c r="B976" t="s">
        <v>1301</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25">
      <c r="A977">
        <v>980</v>
      </c>
      <c r="B977" t="s">
        <v>1302</v>
      </c>
      <c r="C977">
        <v>5250000</v>
      </c>
      <c r="D977" t="s">
        <v>128</v>
      </c>
      <c r="E977" t="s">
        <v>129</v>
      </c>
      <c r="F977" t="s">
        <v>107</v>
      </c>
      <c r="G977" t="s">
        <v>987</v>
      </c>
      <c r="H977">
        <v>2016</v>
      </c>
      <c r="I977" t="s">
        <v>50</v>
      </c>
      <c r="J977" t="s">
        <v>43</v>
      </c>
      <c r="K977">
        <v>61015</v>
      </c>
      <c r="L977">
        <v>3500</v>
      </c>
      <c r="M977" t="s">
        <v>44</v>
      </c>
      <c r="N977" t="s">
        <v>84</v>
      </c>
      <c r="O977" t="s">
        <v>33</v>
      </c>
      <c r="P977" t="s">
        <v>33</v>
      </c>
      <c r="Q977" t="s">
        <v>318</v>
      </c>
      <c r="U977" t="s">
        <v>33</v>
      </c>
      <c r="V977" t="s">
        <v>35</v>
      </c>
      <c r="W977" t="s">
        <v>36</v>
      </c>
    </row>
    <row r="978" spans="1:23" x14ac:dyDescent="0.25">
      <c r="A978">
        <v>981</v>
      </c>
      <c r="B978" t="s">
        <v>1303</v>
      </c>
      <c r="C978">
        <v>3213000</v>
      </c>
      <c r="D978" t="s">
        <v>24</v>
      </c>
      <c r="E978" t="s">
        <v>25</v>
      </c>
      <c r="F978" t="s">
        <v>237</v>
      </c>
      <c r="G978" t="s">
        <v>1205</v>
      </c>
      <c r="H978">
        <v>2012</v>
      </c>
      <c r="I978" t="s">
        <v>50</v>
      </c>
      <c r="J978" t="s">
        <v>43</v>
      </c>
      <c r="K978">
        <v>93446</v>
      </c>
      <c r="L978">
        <v>2000</v>
      </c>
      <c r="M978" t="s">
        <v>44</v>
      </c>
      <c r="N978" t="s">
        <v>84</v>
      </c>
      <c r="O978" t="s">
        <v>1304</v>
      </c>
      <c r="P978" t="s">
        <v>73</v>
      </c>
      <c r="Q978" t="s">
        <v>74</v>
      </c>
      <c r="R978">
        <v>5</v>
      </c>
      <c r="S978">
        <v>4</v>
      </c>
      <c r="T978">
        <v>135</v>
      </c>
      <c r="U978" t="s">
        <v>45</v>
      </c>
      <c r="V978" t="s">
        <v>35</v>
      </c>
      <c r="W978" t="s">
        <v>36</v>
      </c>
    </row>
    <row r="979" spans="1:23" x14ac:dyDescent="0.25">
      <c r="A979">
        <v>982</v>
      </c>
      <c r="B979" t="s">
        <v>1305</v>
      </c>
      <c r="C979">
        <v>924000</v>
      </c>
      <c r="D979" t="s">
        <v>157</v>
      </c>
      <c r="E979" t="s">
        <v>158</v>
      </c>
      <c r="F979" t="s">
        <v>294</v>
      </c>
      <c r="G979" t="s">
        <v>804</v>
      </c>
      <c r="H979">
        <v>2000</v>
      </c>
      <c r="I979" t="s">
        <v>42</v>
      </c>
      <c r="J979" t="s">
        <v>43</v>
      </c>
      <c r="K979">
        <v>20379</v>
      </c>
      <c r="L979">
        <v>2000</v>
      </c>
      <c r="M979" t="s">
        <v>44</v>
      </c>
      <c r="N979" t="s">
        <v>44</v>
      </c>
      <c r="O979" t="s">
        <v>1306</v>
      </c>
      <c r="P979" t="s">
        <v>33</v>
      </c>
      <c r="Q979" t="s">
        <v>33</v>
      </c>
      <c r="S979">
        <v>4</v>
      </c>
      <c r="U979" t="s">
        <v>34</v>
      </c>
      <c r="V979" t="s">
        <v>35</v>
      </c>
      <c r="W979" t="s">
        <v>36</v>
      </c>
    </row>
    <row r="980" spans="1:23" x14ac:dyDescent="0.25">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25">
      <c r="A981">
        <v>984</v>
      </c>
      <c r="B981" t="s">
        <v>1307</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25">
      <c r="A982">
        <v>985</v>
      </c>
      <c r="B982" t="s">
        <v>1308</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25">
      <c r="A983">
        <v>986</v>
      </c>
      <c r="B983" t="s">
        <v>1309</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25">
      <c r="A984">
        <v>987</v>
      </c>
      <c r="B984" t="s">
        <v>1310</v>
      </c>
      <c r="C984">
        <v>4011000</v>
      </c>
      <c r="D984" t="s">
        <v>24</v>
      </c>
      <c r="E984" t="s">
        <v>47</v>
      </c>
      <c r="F984" t="s">
        <v>107</v>
      </c>
      <c r="G984" t="s">
        <v>108</v>
      </c>
      <c r="H984">
        <v>2010</v>
      </c>
      <c r="I984" t="s">
        <v>97</v>
      </c>
      <c r="J984" t="s">
        <v>29</v>
      </c>
      <c r="K984">
        <v>27856</v>
      </c>
      <c r="L984">
        <v>3500</v>
      </c>
      <c r="M984" t="s">
        <v>30</v>
      </c>
      <c r="N984" t="s">
        <v>30</v>
      </c>
      <c r="O984" t="s">
        <v>1311</v>
      </c>
      <c r="P984" t="s">
        <v>32</v>
      </c>
      <c r="Q984" t="s">
        <v>33</v>
      </c>
      <c r="R984">
        <v>5</v>
      </c>
      <c r="S984">
        <v>6</v>
      </c>
      <c r="T984">
        <v>271</v>
      </c>
      <c r="U984" t="s">
        <v>34</v>
      </c>
      <c r="V984" t="s">
        <v>35</v>
      </c>
      <c r="W984" t="s">
        <v>36</v>
      </c>
    </row>
    <row r="985" spans="1:23" x14ac:dyDescent="0.25">
      <c r="A985">
        <v>988</v>
      </c>
      <c r="B985" t="s">
        <v>1312</v>
      </c>
      <c r="C985">
        <v>3515200</v>
      </c>
      <c r="D985" t="s">
        <v>24</v>
      </c>
      <c r="E985" t="s">
        <v>25</v>
      </c>
      <c r="F985" t="s">
        <v>237</v>
      </c>
      <c r="G985" t="s">
        <v>378</v>
      </c>
      <c r="H985">
        <v>2009</v>
      </c>
      <c r="I985" t="s">
        <v>97</v>
      </c>
      <c r="J985" t="s">
        <v>43</v>
      </c>
      <c r="K985">
        <v>37960</v>
      </c>
      <c r="L985">
        <v>3300</v>
      </c>
      <c r="M985" t="s">
        <v>44</v>
      </c>
      <c r="N985" t="s">
        <v>30</v>
      </c>
      <c r="O985" t="s">
        <v>1313</v>
      </c>
      <c r="P985" t="s">
        <v>73</v>
      </c>
      <c r="Q985" t="s">
        <v>74</v>
      </c>
      <c r="R985">
        <v>5</v>
      </c>
      <c r="S985">
        <v>6</v>
      </c>
      <c r="T985">
        <v>189</v>
      </c>
      <c r="U985" t="s">
        <v>45</v>
      </c>
      <c r="V985" t="s">
        <v>35</v>
      </c>
      <c r="W985" t="s">
        <v>36</v>
      </c>
    </row>
    <row r="986" spans="1:23" x14ac:dyDescent="0.25">
      <c r="A986">
        <v>989</v>
      </c>
      <c r="B986" t="s">
        <v>1314</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25">
      <c r="A987">
        <v>990</v>
      </c>
      <c r="B987" t="s">
        <v>1315</v>
      </c>
      <c r="C987">
        <v>3640000</v>
      </c>
      <c r="D987" t="s">
        <v>24</v>
      </c>
      <c r="E987" t="s">
        <v>95</v>
      </c>
      <c r="F987" t="s">
        <v>107</v>
      </c>
      <c r="G987" t="s">
        <v>1027</v>
      </c>
      <c r="H987">
        <v>2006</v>
      </c>
      <c r="I987" t="s">
        <v>60</v>
      </c>
      <c r="J987" t="s">
        <v>43</v>
      </c>
      <c r="K987">
        <v>35560</v>
      </c>
      <c r="L987">
        <v>3500</v>
      </c>
      <c r="M987" t="s">
        <v>44</v>
      </c>
      <c r="N987" t="s">
        <v>30</v>
      </c>
      <c r="O987" t="s">
        <v>33</v>
      </c>
      <c r="P987" t="s">
        <v>33</v>
      </c>
      <c r="Q987" t="s">
        <v>74</v>
      </c>
      <c r="U987" t="s">
        <v>453</v>
      </c>
      <c r="V987" t="s">
        <v>35</v>
      </c>
      <c r="W987" t="s">
        <v>36</v>
      </c>
    </row>
    <row r="988" spans="1:23" x14ac:dyDescent="0.25">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25">
      <c r="A989">
        <v>992</v>
      </c>
      <c r="B989" t="s">
        <v>1316</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25">
      <c r="A990">
        <v>993</v>
      </c>
      <c r="B990" t="s">
        <v>1317</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25">
      <c r="A991">
        <v>994</v>
      </c>
      <c r="B991" t="s">
        <v>1318</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25">
      <c r="A992">
        <v>995</v>
      </c>
      <c r="B992" t="s">
        <v>1319</v>
      </c>
      <c r="C992">
        <v>7875000</v>
      </c>
      <c r="D992" t="s">
        <v>24</v>
      </c>
      <c r="E992" t="s">
        <v>47</v>
      </c>
      <c r="F992" t="s">
        <v>58</v>
      </c>
      <c r="G992" t="s">
        <v>448</v>
      </c>
      <c r="H992">
        <v>2008</v>
      </c>
      <c r="I992" t="s">
        <v>97</v>
      </c>
      <c r="J992" t="s">
        <v>43</v>
      </c>
      <c r="K992">
        <v>71290</v>
      </c>
      <c r="L992">
        <v>5500</v>
      </c>
      <c r="M992" t="s">
        <v>44</v>
      </c>
      <c r="N992" t="s">
        <v>30</v>
      </c>
      <c r="O992" t="s">
        <v>1320</v>
      </c>
      <c r="P992" t="s">
        <v>33</v>
      </c>
      <c r="Q992" t="s">
        <v>102</v>
      </c>
      <c r="U992" t="s">
        <v>33</v>
      </c>
      <c r="V992" t="s">
        <v>35</v>
      </c>
      <c r="W992" t="s">
        <v>36</v>
      </c>
    </row>
    <row r="993" spans="1:23" x14ac:dyDescent="0.25">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25">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25">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25">
      <c r="A996">
        <v>999</v>
      </c>
      <c r="B996" t="s">
        <v>928</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25">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25">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25">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25">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25">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25">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25">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25">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25">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25">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25">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25">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25">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25">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25">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25">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25">
      <c r="A1013">
        <v>1016</v>
      </c>
      <c r="B1013" t="s">
        <v>1029</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25">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25">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25">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25">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25">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25">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25">
      <c r="A1020">
        <v>1023</v>
      </c>
      <c r="B1020" t="s">
        <v>1070</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25">
      <c r="A1021">
        <v>1024</v>
      </c>
      <c r="B1021" t="s">
        <v>1070</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25">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25">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25">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25">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25">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25">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25">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25">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25">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25">
      <c r="A1031">
        <v>1034</v>
      </c>
      <c r="B1031" t="s">
        <v>952</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25">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1154</v>
      </c>
      <c r="V1032" t="s">
        <v>35</v>
      </c>
      <c r="W1032" t="s">
        <v>36</v>
      </c>
    </row>
    <row r="1033" spans="1:23" x14ac:dyDescent="0.25">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25">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25">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25">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25">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25">
      <c r="A1038">
        <v>1041</v>
      </c>
      <c r="B1038" t="s">
        <v>1111</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25">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25">
      <c r="A1040">
        <v>1043</v>
      </c>
      <c r="B1040" t="s">
        <v>1366</v>
      </c>
      <c r="C1040">
        <v>6720000</v>
      </c>
      <c r="D1040" t="s">
        <v>257</v>
      </c>
      <c r="E1040" t="s">
        <v>258</v>
      </c>
      <c r="F1040" t="s">
        <v>478</v>
      </c>
      <c r="G1040" t="s">
        <v>964</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25">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25">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25">
      <c r="A1043">
        <v>1046</v>
      </c>
      <c r="B1043" t="s">
        <v>1024</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25">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25">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25">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25">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25">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25">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25">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25">
      <c r="A1051">
        <v>1054</v>
      </c>
      <c r="B1051" t="s">
        <v>1226</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25">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25">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25">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25">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25">
      <c r="A1056">
        <v>1059</v>
      </c>
      <c r="B1056" t="s">
        <v>915</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25">
      <c r="A1057">
        <v>1060</v>
      </c>
      <c r="B1057" t="s">
        <v>1379</v>
      </c>
      <c r="C1057">
        <v>6825000</v>
      </c>
      <c r="D1057" t="s">
        <v>38</v>
      </c>
      <c r="E1057" t="s">
        <v>92</v>
      </c>
      <c r="F1057" t="s">
        <v>118</v>
      </c>
      <c r="G1057" t="s">
        <v>906</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25">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25">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25">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25">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25">
      <c r="A1062">
        <v>1065</v>
      </c>
      <c r="B1062" t="s">
        <v>1384</v>
      </c>
      <c r="C1062">
        <v>2415000</v>
      </c>
      <c r="D1062" t="s">
        <v>38</v>
      </c>
      <c r="E1062" t="s">
        <v>62</v>
      </c>
      <c r="F1062" t="s">
        <v>1163</v>
      </c>
      <c r="G1062" t="s">
        <v>1164</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25">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25">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25">
      <c r="A1065">
        <v>1068</v>
      </c>
      <c r="B1065" t="s">
        <v>1385</v>
      </c>
      <c r="C1065">
        <v>62400000</v>
      </c>
      <c r="D1065" t="s">
        <v>24</v>
      </c>
      <c r="E1065" t="s">
        <v>280</v>
      </c>
      <c r="F1065" t="s">
        <v>48</v>
      </c>
      <c r="G1065" t="s">
        <v>1209</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25">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25">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25">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25">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25">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25">
      <c r="A1071">
        <v>1074</v>
      </c>
      <c r="B1071" t="s">
        <v>1227</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25">
      <c r="A1072">
        <v>1075</v>
      </c>
      <c r="B1072" t="s">
        <v>1097</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25">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25">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25">
      <c r="A1075">
        <v>1078</v>
      </c>
      <c r="B1075" t="s">
        <v>1391</v>
      </c>
      <c r="C1075">
        <v>1890000</v>
      </c>
      <c r="D1075" t="s">
        <v>128</v>
      </c>
      <c r="E1075" t="s">
        <v>129</v>
      </c>
      <c r="F1075" t="s">
        <v>107</v>
      </c>
      <c r="G1075" t="s">
        <v>1127</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25">
      <c r="A1076">
        <v>1079</v>
      </c>
      <c r="B1076" t="s">
        <v>1121</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25">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25">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25">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25">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25">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25">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25">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25">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25">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25">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25">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25">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25">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25">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25">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25">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25">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25">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25">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25">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25">
      <c r="A1097">
        <v>1100</v>
      </c>
      <c r="B1097" t="s">
        <v>1407</v>
      </c>
      <c r="C1097">
        <v>2600000</v>
      </c>
      <c r="D1097" t="s">
        <v>24</v>
      </c>
      <c r="E1097" t="s">
        <v>125</v>
      </c>
      <c r="F1097" t="s">
        <v>107</v>
      </c>
      <c r="G1097" t="s">
        <v>987</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25">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25">
      <c r="A1099">
        <v>1102</v>
      </c>
      <c r="B1099" t="s">
        <v>1263</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25">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25">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25">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25">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25">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25">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25">
      <c r="A1106">
        <v>1109</v>
      </c>
      <c r="B1106" t="s">
        <v>1413</v>
      </c>
      <c r="C1106">
        <v>945000</v>
      </c>
      <c r="D1106" t="s">
        <v>128</v>
      </c>
      <c r="E1106" t="s">
        <v>129</v>
      </c>
      <c r="F1106" t="s">
        <v>202</v>
      </c>
      <c r="G1106" t="s">
        <v>1017</v>
      </c>
      <c r="H1106">
        <v>1996</v>
      </c>
      <c r="I1106" t="s">
        <v>60</v>
      </c>
      <c r="J1106" t="s">
        <v>43</v>
      </c>
      <c r="K1106">
        <v>31103</v>
      </c>
      <c r="L1106">
        <v>1600</v>
      </c>
      <c r="M1106" t="s">
        <v>44</v>
      </c>
      <c r="N1106" t="s">
        <v>44</v>
      </c>
      <c r="O1106" t="s">
        <v>33</v>
      </c>
      <c r="P1106" t="s">
        <v>33</v>
      </c>
      <c r="Q1106" t="s">
        <v>1002</v>
      </c>
      <c r="U1106" t="s">
        <v>33</v>
      </c>
      <c r="V1106" t="s">
        <v>35</v>
      </c>
      <c r="W1106" t="s">
        <v>200</v>
      </c>
    </row>
    <row r="1107" spans="1:23" x14ac:dyDescent="0.25">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25">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25">
      <c r="A1109">
        <v>1112</v>
      </c>
      <c r="B1109" t="s">
        <v>1416</v>
      </c>
      <c r="C1109">
        <v>6825000</v>
      </c>
      <c r="D1109" t="s">
        <v>101</v>
      </c>
      <c r="E1109" t="s">
        <v>102</v>
      </c>
      <c r="F1109" t="s">
        <v>118</v>
      </c>
      <c r="G1109" t="s">
        <v>906</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25">
      <c r="A1110">
        <v>1113</v>
      </c>
      <c r="B1110" t="s">
        <v>1417</v>
      </c>
      <c r="C1110">
        <v>2940000</v>
      </c>
      <c r="D1110" t="s">
        <v>24</v>
      </c>
      <c r="E1110" t="s">
        <v>114</v>
      </c>
      <c r="F1110" t="s">
        <v>69</v>
      </c>
      <c r="G1110" t="s">
        <v>1011</v>
      </c>
      <c r="H1110">
        <v>2012</v>
      </c>
      <c r="I1110" t="s">
        <v>50</v>
      </c>
      <c r="J1110" t="s">
        <v>29</v>
      </c>
      <c r="L1110">
        <v>3500</v>
      </c>
      <c r="M1110" t="s">
        <v>30</v>
      </c>
      <c r="N1110" t="s">
        <v>30</v>
      </c>
      <c r="O1110" t="s">
        <v>33</v>
      </c>
      <c r="P1110" t="s">
        <v>33</v>
      </c>
      <c r="Q1110" t="s">
        <v>33</v>
      </c>
      <c r="U1110" t="s">
        <v>33</v>
      </c>
      <c r="V1110" t="s">
        <v>35</v>
      </c>
      <c r="W1110" t="s">
        <v>36</v>
      </c>
    </row>
    <row r="1111" spans="1:23" x14ac:dyDescent="0.25">
      <c r="A1111">
        <v>1114</v>
      </c>
      <c r="B1111" t="s">
        <v>1418</v>
      </c>
      <c r="C1111">
        <v>2520000</v>
      </c>
      <c r="D1111" t="s">
        <v>38</v>
      </c>
      <c r="E1111" t="s">
        <v>62</v>
      </c>
      <c r="F1111" t="s">
        <v>118</v>
      </c>
      <c r="G1111" t="s">
        <v>902</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25">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25">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25">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25">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25">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25">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25">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25">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25">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25">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25">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25">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25">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25">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25">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25">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25">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25">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25">
      <c r="A1130">
        <v>1133</v>
      </c>
      <c r="B1130" t="s">
        <v>1213</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1189</v>
      </c>
      <c r="V1130" t="s">
        <v>35</v>
      </c>
      <c r="W1130" t="s">
        <v>36</v>
      </c>
    </row>
    <row r="1131" spans="1:23" x14ac:dyDescent="0.25">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25">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25">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25">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25">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25">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25">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25">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25">
      <c r="A1139">
        <v>1142</v>
      </c>
      <c r="B1139" t="s">
        <v>1204</v>
      </c>
      <c r="C1139">
        <v>3675000</v>
      </c>
      <c r="D1139" t="s">
        <v>24</v>
      </c>
      <c r="E1139" t="s">
        <v>150</v>
      </c>
      <c r="F1139" t="s">
        <v>237</v>
      </c>
      <c r="G1139" t="s">
        <v>1205</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25">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25">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25">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25">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25">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25">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25">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25">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25">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25">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25">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25">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25">
      <c r="A1152">
        <v>1155</v>
      </c>
      <c r="B1152" t="s">
        <v>1066</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25">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25">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25">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25">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25">
      <c r="A1157">
        <v>1160</v>
      </c>
      <c r="B1157" t="s">
        <v>1457</v>
      </c>
      <c r="C1157">
        <v>6825000</v>
      </c>
      <c r="D1157" t="s">
        <v>24</v>
      </c>
      <c r="E1157" t="s">
        <v>125</v>
      </c>
      <c r="F1157" t="s">
        <v>69</v>
      </c>
      <c r="G1157" t="s">
        <v>1011</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25">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25">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25">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25">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25">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25">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25">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25">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25">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25">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25">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1189</v>
      </c>
      <c r="V1168" t="s">
        <v>35</v>
      </c>
      <c r="W1168" t="s">
        <v>36</v>
      </c>
    </row>
    <row r="1169" spans="1:23" x14ac:dyDescent="0.25">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25">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25">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25">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25">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25">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25">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25">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25">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25">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25">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25">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25">
      <c r="A1181">
        <v>1184</v>
      </c>
      <c r="B1181" t="s">
        <v>1475</v>
      </c>
      <c r="C1181">
        <v>4200000</v>
      </c>
      <c r="D1181" t="s">
        <v>24</v>
      </c>
      <c r="E1181" t="s">
        <v>175</v>
      </c>
      <c r="F1181" t="s">
        <v>118</v>
      </c>
      <c r="G1181" t="s">
        <v>906</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25">
      <c r="A1182">
        <v>1185</v>
      </c>
      <c r="B1182" t="s">
        <v>929</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25">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25">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25">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25">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25">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25">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25">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25">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25">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25">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25">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25">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25">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25">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25">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25">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25">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25">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25">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25">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25">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25">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25">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25">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25">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25">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25">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25">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25">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25">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25">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1225</v>
      </c>
      <c r="P1213" t="s">
        <v>67</v>
      </c>
      <c r="Q1213" t="s">
        <v>33</v>
      </c>
      <c r="R1213">
        <v>5</v>
      </c>
      <c r="S1213">
        <v>4</v>
      </c>
      <c r="T1213">
        <v>132</v>
      </c>
      <c r="U1213" t="s">
        <v>34</v>
      </c>
      <c r="V1213" t="s">
        <v>35</v>
      </c>
      <c r="W1213" t="s">
        <v>36</v>
      </c>
    </row>
    <row r="1214" spans="1:23" x14ac:dyDescent="0.25">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25">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25">
      <c r="A1216">
        <v>1219</v>
      </c>
      <c r="B1216" t="s">
        <v>1505</v>
      </c>
      <c r="C1216">
        <v>2100000</v>
      </c>
      <c r="D1216" t="s">
        <v>101</v>
      </c>
      <c r="E1216" t="s">
        <v>102</v>
      </c>
      <c r="F1216" t="s">
        <v>969</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25">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25">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25">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25">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25">
      <c r="A1221">
        <v>1224</v>
      </c>
      <c r="B1221" t="s">
        <v>1513</v>
      </c>
      <c r="C1221">
        <v>4515000</v>
      </c>
      <c r="D1221" t="s">
        <v>24</v>
      </c>
      <c r="E1221" t="s">
        <v>76</v>
      </c>
      <c r="F1221" t="s">
        <v>40</v>
      </c>
      <c r="G1221" t="s">
        <v>1021</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25">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25">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25">
      <c r="A1224">
        <v>1227</v>
      </c>
      <c r="B1224" t="s">
        <v>929</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25">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25">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25">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25">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25">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25">
      <c r="A1230">
        <v>1233</v>
      </c>
      <c r="B1230" t="s">
        <v>1521</v>
      </c>
      <c r="C1230">
        <v>1484000</v>
      </c>
      <c r="D1230" t="s">
        <v>24</v>
      </c>
      <c r="E1230" t="s">
        <v>99</v>
      </c>
      <c r="F1230" t="s">
        <v>107</v>
      </c>
      <c r="G1230" t="s">
        <v>987</v>
      </c>
      <c r="H1230">
        <v>2003</v>
      </c>
      <c r="I1230" t="s">
        <v>97</v>
      </c>
      <c r="J1230" t="s">
        <v>43</v>
      </c>
      <c r="K1230">
        <v>24595</v>
      </c>
      <c r="L1230">
        <v>3500</v>
      </c>
      <c r="M1230" t="s">
        <v>44</v>
      </c>
      <c r="N1230" t="s">
        <v>44</v>
      </c>
      <c r="O1230" t="s">
        <v>33</v>
      </c>
      <c r="P1230" t="s">
        <v>33</v>
      </c>
      <c r="Q1230" t="s">
        <v>24</v>
      </c>
      <c r="U1230" t="s">
        <v>1189</v>
      </c>
      <c r="V1230" t="s">
        <v>35</v>
      </c>
      <c r="W1230" t="s">
        <v>36</v>
      </c>
    </row>
    <row r="1231" spans="1:23" x14ac:dyDescent="0.25">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25">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25">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25">
      <c r="A1234">
        <v>1237</v>
      </c>
      <c r="B1234" t="s">
        <v>965</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25">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25">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25">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25">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25">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25">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25">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25">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25">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25">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25">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25">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25">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25">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25">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25">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25">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25">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25">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25">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25">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25">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25">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25">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25">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25">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25">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25">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25">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25">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25">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25">
      <c r="A1266">
        <v>1269</v>
      </c>
      <c r="B1266" t="s">
        <v>1019</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984</v>
      </c>
      <c r="V1266" t="s">
        <v>35</v>
      </c>
      <c r="W1266" t="s">
        <v>36</v>
      </c>
    </row>
    <row r="1267" spans="1:23" x14ac:dyDescent="0.25">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25">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25">
      <c r="A1269">
        <v>1272</v>
      </c>
      <c r="B1269" t="s">
        <v>1558</v>
      </c>
      <c r="C1269">
        <v>7350000</v>
      </c>
      <c r="D1269" t="s">
        <v>38</v>
      </c>
      <c r="E1269" t="s">
        <v>242</v>
      </c>
      <c r="F1269" t="s">
        <v>118</v>
      </c>
      <c r="G1269" t="s">
        <v>1014</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25">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25">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25">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25">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25">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25">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25">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25">
      <c r="A1277">
        <v>1280</v>
      </c>
      <c r="B1277" t="s">
        <v>1569</v>
      </c>
      <c r="C1277">
        <v>3185000</v>
      </c>
      <c r="D1277" t="s">
        <v>24</v>
      </c>
      <c r="E1277" t="s">
        <v>125</v>
      </c>
      <c r="F1277" t="s">
        <v>107</v>
      </c>
      <c r="G1277" t="s">
        <v>987</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25">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25">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25">
      <c r="A1280">
        <v>1283</v>
      </c>
      <c r="B1280" t="s">
        <v>1129</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25">
      <c r="A1281">
        <v>1284</v>
      </c>
      <c r="B1281" t="s">
        <v>1572</v>
      </c>
      <c r="C1281">
        <v>5512500</v>
      </c>
      <c r="D1281" t="s">
        <v>38</v>
      </c>
      <c r="E1281" t="s">
        <v>62</v>
      </c>
      <c r="F1281" t="s">
        <v>118</v>
      </c>
      <c r="G1281" t="s">
        <v>902</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25">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25">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25">
      <c r="A1284">
        <v>1287</v>
      </c>
      <c r="B1284" t="s">
        <v>944</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25">
      <c r="A1285">
        <v>1288</v>
      </c>
      <c r="B1285" t="s">
        <v>928</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25">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25">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25">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25">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25">
      <c r="A1290">
        <v>1293</v>
      </c>
      <c r="B1290" t="s">
        <v>1057</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25">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25">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25">
      <c r="A1293">
        <v>1296</v>
      </c>
      <c r="B1293" t="s">
        <v>1070</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25">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25">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25">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25">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25">
      <c r="A1298">
        <v>1301</v>
      </c>
      <c r="B1298" t="s">
        <v>1584</v>
      </c>
      <c r="C1298">
        <v>13650000</v>
      </c>
      <c r="D1298" t="s">
        <v>24</v>
      </c>
      <c r="E1298" t="s">
        <v>165</v>
      </c>
      <c r="F1298" t="s">
        <v>969</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25">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25">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25">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25">
      <c r="A1302">
        <v>1305</v>
      </c>
      <c r="B1302" t="s">
        <v>1590</v>
      </c>
      <c r="C1302">
        <v>20090000</v>
      </c>
      <c r="D1302" t="s">
        <v>24</v>
      </c>
      <c r="E1302" t="s">
        <v>268</v>
      </c>
      <c r="F1302" t="s">
        <v>1169</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25">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25">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25">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25">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1142</v>
      </c>
      <c r="P1306" t="s">
        <v>67</v>
      </c>
      <c r="Q1306" t="s">
        <v>55</v>
      </c>
      <c r="R1306">
        <v>5</v>
      </c>
      <c r="S1306">
        <v>4</v>
      </c>
      <c r="T1306">
        <v>158</v>
      </c>
      <c r="U1306" t="s">
        <v>34</v>
      </c>
      <c r="V1306" t="s">
        <v>35</v>
      </c>
      <c r="W1306" t="s">
        <v>36</v>
      </c>
    </row>
    <row r="1307" spans="1:23" x14ac:dyDescent="0.25">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25">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25">
      <c r="A1309">
        <v>1312</v>
      </c>
      <c r="B1309" t="s">
        <v>1596</v>
      </c>
      <c r="C1309">
        <v>2478000</v>
      </c>
      <c r="D1309" t="s">
        <v>24</v>
      </c>
      <c r="E1309" t="s">
        <v>268</v>
      </c>
      <c r="F1309" t="s">
        <v>237</v>
      </c>
      <c r="G1309" t="s">
        <v>900</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25">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25">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25">
      <c r="A1312">
        <v>1315</v>
      </c>
      <c r="B1312" t="s">
        <v>1599</v>
      </c>
      <c r="C1312">
        <v>1050000</v>
      </c>
      <c r="D1312" t="s">
        <v>38</v>
      </c>
      <c r="E1312" t="s">
        <v>242</v>
      </c>
      <c r="F1312" t="s">
        <v>478</v>
      </c>
      <c r="G1312" t="s">
        <v>1193</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25">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25">
      <c r="A1314">
        <v>1317</v>
      </c>
      <c r="B1314" t="s">
        <v>1600</v>
      </c>
      <c r="C1314">
        <v>3675000</v>
      </c>
      <c r="D1314" t="s">
        <v>38</v>
      </c>
      <c r="E1314" t="s">
        <v>92</v>
      </c>
      <c r="F1314" t="s">
        <v>58</v>
      </c>
      <c r="G1314" t="s">
        <v>1023</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25">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25">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25">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25">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25">
      <c r="A1319">
        <v>1322</v>
      </c>
      <c r="B1319" t="s">
        <v>1237</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25">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25">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25">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25">
      <c r="A1323">
        <v>1326</v>
      </c>
      <c r="B1323" t="s">
        <v>1590</v>
      </c>
      <c r="C1323">
        <v>22540000</v>
      </c>
      <c r="D1323" t="s">
        <v>24</v>
      </c>
      <c r="E1323" t="s">
        <v>268</v>
      </c>
      <c r="F1323" t="s">
        <v>1169</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25">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25">
      <c r="A1325">
        <v>1328</v>
      </c>
      <c r="B1325" t="s">
        <v>1608</v>
      </c>
      <c r="C1325">
        <v>12642000</v>
      </c>
      <c r="D1325" t="s">
        <v>24</v>
      </c>
      <c r="E1325" t="s">
        <v>268</v>
      </c>
      <c r="F1325" t="s">
        <v>1169</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25">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25">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25">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25">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25">
      <c r="A1330">
        <v>1333</v>
      </c>
      <c r="B1330" t="s">
        <v>888</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25">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25">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25">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932</v>
      </c>
      <c r="V1333" t="s">
        <v>35</v>
      </c>
      <c r="W1333" t="s">
        <v>36</v>
      </c>
    </row>
    <row r="1334" spans="1:23" x14ac:dyDescent="0.25">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25">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25">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25">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25">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25">
      <c r="A1339">
        <v>1342</v>
      </c>
      <c r="B1339" t="s">
        <v>1623</v>
      </c>
      <c r="C1339">
        <v>4725000</v>
      </c>
      <c r="D1339" t="s">
        <v>359</v>
      </c>
      <c r="E1339" t="s">
        <v>360</v>
      </c>
      <c r="F1339" t="s">
        <v>202</v>
      </c>
      <c r="G1339" t="s">
        <v>1033</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25">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25">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25">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25">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25">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25">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25">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25">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25">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25">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25">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25">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25">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25">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25">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25">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25">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25">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25">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25">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25">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25">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25">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25">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25">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25">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25">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1189</v>
      </c>
      <c r="V1366" t="s">
        <v>35</v>
      </c>
      <c r="W1366" t="s">
        <v>36</v>
      </c>
    </row>
    <row r="1367" spans="1:23" x14ac:dyDescent="0.25">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25">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25">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25">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25">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25">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25">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25">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25">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25">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25">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25">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25">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25">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25">
      <c r="A1381">
        <v>1384</v>
      </c>
      <c r="B1381" t="s">
        <v>1660</v>
      </c>
      <c r="C1381">
        <v>20349000</v>
      </c>
      <c r="D1381" t="s">
        <v>24</v>
      </c>
      <c r="E1381" t="s">
        <v>114</v>
      </c>
      <c r="F1381" t="s">
        <v>58</v>
      </c>
      <c r="G1381" t="s">
        <v>1288</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25">
      <c r="A1382">
        <v>1385</v>
      </c>
      <c r="B1382" t="s">
        <v>965</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25">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25">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25">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25">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25">
      <c r="A1387">
        <v>1390</v>
      </c>
      <c r="B1387" t="s">
        <v>1269</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25">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25">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25">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25">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25">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25">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25">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25">
      <c r="A1395">
        <v>1398</v>
      </c>
      <c r="B1395" t="s">
        <v>1670</v>
      </c>
      <c r="C1395">
        <v>9800000</v>
      </c>
      <c r="D1395" t="s">
        <v>24</v>
      </c>
      <c r="E1395" t="s">
        <v>268</v>
      </c>
      <c r="F1395" t="s">
        <v>1169</v>
      </c>
      <c r="G1395" t="s">
        <v>1189</v>
      </c>
      <c r="H1395">
        <v>2022</v>
      </c>
      <c r="I1395" t="s">
        <v>42</v>
      </c>
      <c r="J1395" t="s">
        <v>710</v>
      </c>
      <c r="K1395">
        <v>0</v>
      </c>
      <c r="M1395" t="s">
        <v>33</v>
      </c>
      <c r="N1395" t="s">
        <v>33</v>
      </c>
      <c r="O1395" t="s">
        <v>33</v>
      </c>
      <c r="P1395" t="s">
        <v>33</v>
      </c>
      <c r="Q1395" t="s">
        <v>33</v>
      </c>
      <c r="U1395" t="s">
        <v>33</v>
      </c>
      <c r="V1395" t="s">
        <v>33</v>
      </c>
      <c r="W1395" t="s">
        <v>200</v>
      </c>
    </row>
    <row r="1396" spans="1:23" x14ac:dyDescent="0.25">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25">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25">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25">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25">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25">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25">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25">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25">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25">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25">
      <c r="A1406">
        <v>1409</v>
      </c>
      <c r="B1406" t="s">
        <v>1677</v>
      </c>
      <c r="C1406">
        <v>13426000</v>
      </c>
      <c r="D1406" t="s">
        <v>24</v>
      </c>
      <c r="E1406" t="s">
        <v>268</v>
      </c>
      <c r="F1406" t="s">
        <v>1169</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25">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25">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25">
      <c r="A1409">
        <v>1412</v>
      </c>
      <c r="B1409" t="s">
        <v>1680</v>
      </c>
      <c r="C1409">
        <v>6300000</v>
      </c>
      <c r="D1409" t="s">
        <v>38</v>
      </c>
      <c r="E1409" t="s">
        <v>62</v>
      </c>
      <c r="F1409" t="s">
        <v>202</v>
      </c>
      <c r="G1409" t="s">
        <v>1033</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25">
      <c r="A1410">
        <v>1413</v>
      </c>
      <c r="B1410" t="s">
        <v>1681</v>
      </c>
      <c r="C1410">
        <v>21658000</v>
      </c>
      <c r="D1410" t="s">
        <v>24</v>
      </c>
      <c r="E1410" t="s">
        <v>268</v>
      </c>
      <c r="F1410" t="s">
        <v>1169</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25">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25">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25">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25">
      <c r="A1414">
        <v>1417</v>
      </c>
      <c r="B1414" t="s">
        <v>1686</v>
      </c>
      <c r="C1414">
        <v>7840000</v>
      </c>
      <c r="D1414" t="s">
        <v>24</v>
      </c>
      <c r="E1414" t="s">
        <v>268</v>
      </c>
      <c r="F1414" t="s">
        <v>1169</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25">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25">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25">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25">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25">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25">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25">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25">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25">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25">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25">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25">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25">
      <c r="A1427">
        <v>1430</v>
      </c>
      <c r="B1427" t="s">
        <v>982</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25">
      <c r="A1428">
        <v>1431</v>
      </c>
      <c r="B1428" t="s">
        <v>1702</v>
      </c>
      <c r="C1428">
        <v>24794000</v>
      </c>
      <c r="D1428" t="s">
        <v>24</v>
      </c>
      <c r="E1428" t="s">
        <v>268</v>
      </c>
      <c r="F1428" t="s">
        <v>1169</v>
      </c>
      <c r="G1428" t="s">
        <v>1170</v>
      </c>
      <c r="H1428">
        <v>2022</v>
      </c>
      <c r="I1428" t="s">
        <v>63</v>
      </c>
      <c r="J1428" t="s">
        <v>710</v>
      </c>
      <c r="K1428">
        <v>0</v>
      </c>
      <c r="M1428" t="s">
        <v>33</v>
      </c>
      <c r="N1428" t="s">
        <v>33</v>
      </c>
      <c r="O1428" t="s">
        <v>33</v>
      </c>
      <c r="P1428" t="s">
        <v>33</v>
      </c>
      <c r="Q1428" t="s">
        <v>33</v>
      </c>
      <c r="U1428" t="s">
        <v>33</v>
      </c>
      <c r="V1428" t="s">
        <v>33</v>
      </c>
      <c r="W1428" t="s">
        <v>36</v>
      </c>
    </row>
    <row r="1429" spans="1:23" x14ac:dyDescent="0.25">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25">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25">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25">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25">
      <c r="A1433">
        <v>1436</v>
      </c>
      <c r="B1433" t="s">
        <v>1114</v>
      </c>
      <c r="C1433">
        <v>2730000</v>
      </c>
      <c r="D1433" t="s">
        <v>24</v>
      </c>
      <c r="E1433" t="s">
        <v>99</v>
      </c>
      <c r="F1433" t="s">
        <v>40</v>
      </c>
      <c r="G1433" t="s">
        <v>1115</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25">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25">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25">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25">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25">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25">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25">
      <c r="A1440">
        <v>1443</v>
      </c>
      <c r="B1440" t="s">
        <v>1711</v>
      </c>
      <c r="C1440">
        <v>2625000</v>
      </c>
      <c r="D1440" t="s">
        <v>38</v>
      </c>
      <c r="E1440" t="s">
        <v>86</v>
      </c>
      <c r="F1440" t="s">
        <v>478</v>
      </c>
      <c r="G1440" t="s">
        <v>1113</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25">
      <c r="A1441">
        <v>1444</v>
      </c>
      <c r="B1441" t="s">
        <v>1712</v>
      </c>
      <c r="C1441">
        <v>1890000</v>
      </c>
      <c r="D1441" t="s">
        <v>337</v>
      </c>
      <c r="E1441" t="s">
        <v>338</v>
      </c>
      <c r="F1441" t="s">
        <v>107</v>
      </c>
      <c r="G1441" t="s">
        <v>987</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25">
      <c r="A1442">
        <v>1445</v>
      </c>
      <c r="B1442" t="s">
        <v>1281</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25">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25">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25">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25">
      <c r="A1446">
        <v>1639</v>
      </c>
      <c r="B1446" t="s">
        <v>1715</v>
      </c>
      <c r="C1446">
        <v>2835000</v>
      </c>
      <c r="D1446" t="s">
        <v>24</v>
      </c>
      <c r="E1446" t="s">
        <v>83</v>
      </c>
      <c r="F1446" t="s">
        <v>1169</v>
      </c>
      <c r="G1446" t="s">
        <v>1170</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25">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25">
      <c r="A1448">
        <v>1641</v>
      </c>
      <c r="B1448" t="s">
        <v>1070</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25">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25">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25">
      <c r="A1451">
        <v>2892</v>
      </c>
      <c r="B1451" t="s">
        <v>1289</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25">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25">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25">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25">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25">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25">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25">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25">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959</v>
      </c>
      <c r="U1459" t="s">
        <v>33</v>
      </c>
      <c r="V1459" t="s">
        <v>35</v>
      </c>
      <c r="W1459" t="s">
        <v>36</v>
      </c>
    </row>
    <row r="1460" spans="1:23" x14ac:dyDescent="0.25">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25">
      <c r="A1461">
        <v>2907</v>
      </c>
      <c r="B1461" t="s">
        <v>1281</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25">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25">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25">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25">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25">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25">
      <c r="A1467">
        <v>2913</v>
      </c>
      <c r="B1467" t="s">
        <v>1201</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25">
      <c r="A1468">
        <v>2914</v>
      </c>
      <c r="B1468" t="s">
        <v>1197</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25">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25">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25">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25">
      <c r="A1472">
        <v>2918</v>
      </c>
      <c r="B1472" t="s">
        <v>1733</v>
      </c>
      <c r="C1472">
        <v>3150000</v>
      </c>
      <c r="D1472" t="s">
        <v>24</v>
      </c>
      <c r="E1472" t="s">
        <v>95</v>
      </c>
      <c r="F1472" t="s">
        <v>478</v>
      </c>
      <c r="G1472" t="s">
        <v>1193</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25">
      <c r="A1473">
        <v>2919</v>
      </c>
      <c r="B1473" t="s">
        <v>1734</v>
      </c>
      <c r="C1473">
        <v>3045000</v>
      </c>
      <c r="D1473" t="s">
        <v>38</v>
      </c>
      <c r="E1473" t="s">
        <v>39</v>
      </c>
      <c r="F1473" t="s">
        <v>69</v>
      </c>
      <c r="G1473" t="s">
        <v>1011</v>
      </c>
      <c r="H1473">
        <v>2005</v>
      </c>
      <c r="I1473" t="s">
        <v>50</v>
      </c>
      <c r="J1473" t="s">
        <v>43</v>
      </c>
      <c r="K1473">
        <v>38514</v>
      </c>
      <c r="L1473">
        <v>4600</v>
      </c>
      <c r="M1473" t="s">
        <v>44</v>
      </c>
      <c r="N1473" t="s">
        <v>44</v>
      </c>
      <c r="O1473" t="s">
        <v>33</v>
      </c>
      <c r="P1473" t="s">
        <v>33</v>
      </c>
      <c r="Q1473" t="s">
        <v>33</v>
      </c>
      <c r="U1473" t="s">
        <v>984</v>
      </c>
      <c r="V1473" t="s">
        <v>35</v>
      </c>
      <c r="W1473" t="s">
        <v>36</v>
      </c>
    </row>
    <row r="1474" spans="1:23" x14ac:dyDescent="0.25">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25">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25">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25">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25">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25">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25">
      <c r="A1480">
        <v>2926</v>
      </c>
      <c r="B1480" t="s">
        <v>1742</v>
      </c>
      <c r="C1480">
        <v>17542000</v>
      </c>
      <c r="D1480" t="s">
        <v>24</v>
      </c>
      <c r="E1480" t="s">
        <v>268</v>
      </c>
      <c r="F1480" t="s">
        <v>1169</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25">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25">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25">
      <c r="A1483">
        <v>2929</v>
      </c>
      <c r="B1483" t="s">
        <v>1295</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25">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25">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25">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25">
      <c r="A1487">
        <v>2933</v>
      </c>
      <c r="B1487" t="s">
        <v>985</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25">
      <c r="A1488">
        <v>2934</v>
      </c>
      <c r="B1488" t="s">
        <v>1748</v>
      </c>
      <c r="C1488">
        <v>10290000</v>
      </c>
      <c r="D1488" t="s">
        <v>24</v>
      </c>
      <c r="E1488" t="s">
        <v>268</v>
      </c>
      <c r="F1488" t="s">
        <v>1169</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25">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25">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25">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25">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25">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25">
      <c r="A1494">
        <v>2940</v>
      </c>
      <c r="B1494" t="s">
        <v>1756</v>
      </c>
      <c r="C1494">
        <v>2288000</v>
      </c>
      <c r="D1494" t="s">
        <v>359</v>
      </c>
      <c r="E1494" t="s">
        <v>360</v>
      </c>
      <c r="F1494" t="s">
        <v>301</v>
      </c>
      <c r="G1494" t="s">
        <v>973</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25">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25">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25">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25">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25">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25">
      <c r="A1500">
        <v>2946</v>
      </c>
      <c r="B1500" t="s">
        <v>1760</v>
      </c>
      <c r="C1500">
        <v>3120000</v>
      </c>
      <c r="D1500" t="s">
        <v>257</v>
      </c>
      <c r="E1500" t="s">
        <v>258</v>
      </c>
      <c r="F1500" t="s">
        <v>58</v>
      </c>
      <c r="G1500" t="s">
        <v>946</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25">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25">
      <c r="A1502">
        <v>2948</v>
      </c>
      <c r="B1502" t="s">
        <v>1035</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25">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25">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25">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25">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25">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25">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25">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25">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25">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25">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25">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25">
      <c r="A1514">
        <v>2960</v>
      </c>
      <c r="B1514" t="s">
        <v>1186</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25">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25">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25">
      <c r="A1517">
        <v>2963</v>
      </c>
      <c r="B1517" t="s">
        <v>1778</v>
      </c>
      <c r="C1517">
        <v>17444000</v>
      </c>
      <c r="D1517" t="s">
        <v>24</v>
      </c>
      <c r="E1517" t="s">
        <v>268</v>
      </c>
      <c r="F1517" t="s">
        <v>1169</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25">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25">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25">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25">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25">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25">
      <c r="A1523">
        <v>2969</v>
      </c>
      <c r="B1523" t="s">
        <v>1784</v>
      </c>
      <c r="C1523">
        <v>1050000</v>
      </c>
      <c r="D1523" t="s">
        <v>101</v>
      </c>
      <c r="E1523" t="s">
        <v>102</v>
      </c>
      <c r="F1523" t="s">
        <v>202</v>
      </c>
      <c r="G1523" t="s">
        <v>1017</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25">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25">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25">
      <c r="A1526">
        <v>2972</v>
      </c>
      <c r="B1526" t="s">
        <v>1788</v>
      </c>
      <c r="C1526">
        <v>46800000</v>
      </c>
      <c r="D1526" t="s">
        <v>38</v>
      </c>
      <c r="E1526" t="s">
        <v>242</v>
      </c>
      <c r="F1526" t="s">
        <v>48</v>
      </c>
      <c r="G1526" t="s">
        <v>1209</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25">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25">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25">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25">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25">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25">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25">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25">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25">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25">
      <c r="A1536">
        <v>2982</v>
      </c>
      <c r="B1536" t="s">
        <v>1274</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25">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25">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25">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25">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25">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25">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25">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25">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25">
      <c r="A1545">
        <v>2991</v>
      </c>
      <c r="B1545" t="s">
        <v>1805</v>
      </c>
      <c r="C1545">
        <v>7350000</v>
      </c>
      <c r="D1545" t="s">
        <v>521</v>
      </c>
      <c r="E1545" t="s">
        <v>522</v>
      </c>
      <c r="F1545" t="s">
        <v>969</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25">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25">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25">
      <c r="A1548">
        <v>2994</v>
      </c>
      <c r="B1548" t="s">
        <v>1808</v>
      </c>
      <c r="C1548">
        <v>4200000</v>
      </c>
      <c r="D1548" t="s">
        <v>38</v>
      </c>
      <c r="E1548" t="s">
        <v>155</v>
      </c>
      <c r="F1548" t="s">
        <v>1169</v>
      </c>
      <c r="G1548" t="s">
        <v>1170</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25">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25">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25">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25">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25">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25">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25">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25">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25">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25">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25">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25">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25">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25">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25">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25">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25">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25">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25">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25">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25">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25">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25">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25">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25">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25">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25">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25">
      <c r="A1576">
        <v>3022</v>
      </c>
      <c r="B1576" t="s">
        <v>1839</v>
      </c>
      <c r="C1576">
        <v>6300000</v>
      </c>
      <c r="D1576" t="s">
        <v>38</v>
      </c>
      <c r="E1576" t="s">
        <v>39</v>
      </c>
      <c r="F1576" t="s">
        <v>26</v>
      </c>
      <c r="G1576" t="s">
        <v>1248</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25">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25">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25">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25">
      <c r="A1580">
        <v>3026</v>
      </c>
      <c r="B1580" t="s">
        <v>1843</v>
      </c>
      <c r="C1580">
        <v>20160000</v>
      </c>
      <c r="D1580" t="s">
        <v>38</v>
      </c>
      <c r="E1580" t="s">
        <v>242</v>
      </c>
      <c r="F1580" t="s">
        <v>48</v>
      </c>
      <c r="G1580" t="s">
        <v>1209</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25">
      <c r="A1581">
        <v>3027</v>
      </c>
      <c r="B1581" t="s">
        <v>1844</v>
      </c>
      <c r="C1581">
        <v>2730000</v>
      </c>
      <c r="D1581" t="s">
        <v>24</v>
      </c>
      <c r="E1581" t="s">
        <v>280</v>
      </c>
      <c r="F1581" t="s">
        <v>237</v>
      </c>
      <c r="G1581" t="s">
        <v>900</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25">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25">
      <c r="A1583">
        <v>3029</v>
      </c>
      <c r="B1583" t="s">
        <v>1131</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25">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25">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25">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25">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25">
      <c r="A1588">
        <v>3034</v>
      </c>
      <c r="B1588" t="s">
        <v>1851</v>
      </c>
      <c r="C1588">
        <v>3675000</v>
      </c>
      <c r="D1588" t="s">
        <v>359</v>
      </c>
      <c r="E1588" t="s">
        <v>360</v>
      </c>
      <c r="F1588" t="s">
        <v>118</v>
      </c>
      <c r="G1588" t="s">
        <v>1292</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25">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25">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25">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25">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25">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25">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25">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25">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25">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25">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25">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25">
      <c r="A1600">
        <v>3046</v>
      </c>
      <c r="B1600" t="s">
        <v>1863</v>
      </c>
      <c r="C1600">
        <v>15386000</v>
      </c>
      <c r="D1600" t="s">
        <v>24</v>
      </c>
      <c r="E1600" t="s">
        <v>268</v>
      </c>
      <c r="F1600" t="s">
        <v>1169</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25">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25">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25">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25">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25">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25">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25">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25">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25">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25">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25">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25">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25">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25">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25">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25">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25">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25">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25">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25">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25">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25">
      <c r="A1622">
        <v>3068</v>
      </c>
      <c r="B1622" t="s">
        <v>1884</v>
      </c>
      <c r="C1622">
        <v>1456000</v>
      </c>
      <c r="D1622" t="s">
        <v>38</v>
      </c>
      <c r="E1622" t="s">
        <v>39</v>
      </c>
      <c r="F1622" t="s">
        <v>301</v>
      </c>
      <c r="G1622" t="s">
        <v>973</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25">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25">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25">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25">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25">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25">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25">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25">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25">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25">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25">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25">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25">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25">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25">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25">
      <c r="A1638">
        <v>3084</v>
      </c>
      <c r="B1638" t="s">
        <v>1043</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25">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932</v>
      </c>
      <c r="V1639" t="s">
        <v>35</v>
      </c>
      <c r="W1639" t="s">
        <v>36</v>
      </c>
    </row>
    <row r="1640" spans="1:23" x14ac:dyDescent="0.25">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25">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25">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25">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25">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25">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25">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25">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25">
      <c r="A1648">
        <v>3094</v>
      </c>
      <c r="B1648" t="s">
        <v>1910</v>
      </c>
      <c r="C1648">
        <v>4410000</v>
      </c>
      <c r="D1648" t="s">
        <v>521</v>
      </c>
      <c r="E1648" t="s">
        <v>522</v>
      </c>
      <c r="F1648" t="s">
        <v>969</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25">
      <c r="A1649">
        <v>3095</v>
      </c>
      <c r="B1649" t="s">
        <v>1130</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25">
      <c r="A1650">
        <v>3096</v>
      </c>
      <c r="B1650" t="s">
        <v>1295</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25">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25">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25">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25">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25">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25">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25">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25">
      <c r="A1658">
        <v>3104</v>
      </c>
      <c r="B1658" t="s">
        <v>1919</v>
      </c>
      <c r="C1658">
        <v>1785000</v>
      </c>
      <c r="D1658" t="s">
        <v>24</v>
      </c>
      <c r="E1658" t="s">
        <v>165</v>
      </c>
      <c r="F1658" t="s">
        <v>135</v>
      </c>
      <c r="G1658" t="s">
        <v>1245</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25">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25">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25">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25">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25">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25">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25">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25">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25">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25">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25">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25">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25">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25">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25">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25">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25">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25">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25">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25">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25">
      <c r="A1679">
        <v>3125</v>
      </c>
      <c r="B1679" t="s">
        <v>1934</v>
      </c>
      <c r="C1679">
        <v>1470000</v>
      </c>
      <c r="D1679" t="s">
        <v>24</v>
      </c>
      <c r="E1679" t="s">
        <v>276</v>
      </c>
      <c r="F1679" t="s">
        <v>107</v>
      </c>
      <c r="G1679" t="s">
        <v>987</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25">
      <c r="A1680">
        <v>3126</v>
      </c>
      <c r="B1680" t="s">
        <v>1159</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25">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25">
      <c r="A1682">
        <v>3128</v>
      </c>
      <c r="B1682" t="s">
        <v>1935</v>
      </c>
      <c r="C1682">
        <v>9880000</v>
      </c>
      <c r="D1682" t="s">
        <v>38</v>
      </c>
      <c r="E1682" t="s">
        <v>155</v>
      </c>
      <c r="F1682" t="s">
        <v>58</v>
      </c>
      <c r="G1682" t="s">
        <v>1146</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25">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25">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25">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25">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25">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25">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25">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25">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25">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25">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25">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25">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25">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1142</v>
      </c>
      <c r="P1695" t="s">
        <v>67</v>
      </c>
      <c r="Q1695" t="s">
        <v>24</v>
      </c>
      <c r="R1695">
        <v>5</v>
      </c>
      <c r="S1695">
        <v>4</v>
      </c>
      <c r="T1695">
        <v>160</v>
      </c>
      <c r="U1695" t="s">
        <v>34</v>
      </c>
      <c r="V1695" t="s">
        <v>35</v>
      </c>
      <c r="W1695" t="s">
        <v>36</v>
      </c>
    </row>
    <row r="1696" spans="1:23" x14ac:dyDescent="0.25">
      <c r="A1696">
        <v>3142</v>
      </c>
      <c r="B1696" t="s">
        <v>1948</v>
      </c>
      <c r="C1696">
        <v>1575000</v>
      </c>
      <c r="D1696" t="s">
        <v>38</v>
      </c>
      <c r="E1696" t="s">
        <v>86</v>
      </c>
      <c r="F1696" t="s">
        <v>301</v>
      </c>
      <c r="G1696" t="s">
        <v>973</v>
      </c>
      <c r="H1696">
        <v>2008</v>
      </c>
      <c r="I1696" t="s">
        <v>63</v>
      </c>
      <c r="J1696" t="s">
        <v>43</v>
      </c>
      <c r="L1696">
        <v>1800</v>
      </c>
      <c r="M1696" t="s">
        <v>44</v>
      </c>
      <c r="N1696" t="s">
        <v>44</v>
      </c>
      <c r="O1696" t="s">
        <v>33</v>
      </c>
      <c r="P1696" t="s">
        <v>33</v>
      </c>
      <c r="Q1696" t="s">
        <v>87</v>
      </c>
      <c r="U1696" t="s">
        <v>33</v>
      </c>
      <c r="V1696" t="s">
        <v>35</v>
      </c>
      <c r="W1696" t="s">
        <v>200</v>
      </c>
    </row>
    <row r="1697" spans="1:23" x14ac:dyDescent="0.25">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25">
      <c r="A1698">
        <v>3144</v>
      </c>
      <c r="B1698" t="s">
        <v>1949</v>
      </c>
      <c r="C1698">
        <v>50440000</v>
      </c>
      <c r="D1698" t="s">
        <v>38</v>
      </c>
      <c r="E1698" t="s">
        <v>62</v>
      </c>
      <c r="F1698" t="s">
        <v>58</v>
      </c>
      <c r="G1698" t="s">
        <v>1288</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25">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25">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25">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25">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25">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1189</v>
      </c>
      <c r="V1703" t="s">
        <v>35</v>
      </c>
      <c r="W1703" t="s">
        <v>36</v>
      </c>
    </row>
    <row r="1704" spans="1:23" x14ac:dyDescent="0.25">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25">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25">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25">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25">
      <c r="A1708">
        <v>3154</v>
      </c>
      <c r="B1708" t="s">
        <v>1955</v>
      </c>
      <c r="C1708">
        <v>9776000</v>
      </c>
      <c r="D1708" t="s">
        <v>24</v>
      </c>
      <c r="E1708" t="s">
        <v>125</v>
      </c>
      <c r="F1708" t="s">
        <v>69</v>
      </c>
      <c r="G1708" t="s">
        <v>1011</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25">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25">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25">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25">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25">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1142</v>
      </c>
      <c r="P1713" t="s">
        <v>67</v>
      </c>
      <c r="Q1713" t="s">
        <v>33</v>
      </c>
      <c r="R1713">
        <v>5</v>
      </c>
      <c r="S1713">
        <v>4</v>
      </c>
      <c r="T1713">
        <v>158</v>
      </c>
      <c r="U1713" t="s">
        <v>34</v>
      </c>
      <c r="V1713" t="s">
        <v>35</v>
      </c>
      <c r="W1713" t="s">
        <v>36</v>
      </c>
    </row>
    <row r="1714" spans="1:23" x14ac:dyDescent="0.25">
      <c r="A1714">
        <v>3160</v>
      </c>
      <c r="B1714" t="s">
        <v>1958</v>
      </c>
      <c r="C1714">
        <v>2625000</v>
      </c>
      <c r="D1714" t="s">
        <v>38</v>
      </c>
      <c r="E1714" t="s">
        <v>65</v>
      </c>
      <c r="F1714" t="s">
        <v>237</v>
      </c>
      <c r="G1714" t="s">
        <v>900</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25">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25">
      <c r="A1716">
        <v>3162</v>
      </c>
      <c r="B1716" t="s">
        <v>1962</v>
      </c>
      <c r="C1716">
        <v>2940000</v>
      </c>
      <c r="D1716" t="s">
        <v>24</v>
      </c>
      <c r="E1716" t="s">
        <v>125</v>
      </c>
      <c r="F1716" t="s">
        <v>40</v>
      </c>
      <c r="G1716" t="s">
        <v>1115</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25">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25">
      <c r="A1718">
        <v>3164</v>
      </c>
      <c r="B1718" t="s">
        <v>1963</v>
      </c>
      <c r="C1718">
        <v>2625000</v>
      </c>
      <c r="D1718" t="s">
        <v>24</v>
      </c>
      <c r="E1718" t="s">
        <v>125</v>
      </c>
      <c r="F1718" t="s">
        <v>118</v>
      </c>
      <c r="G1718" t="s">
        <v>1292</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25">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25">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25">
      <c r="A1721">
        <v>3167</v>
      </c>
      <c r="B1721" t="s">
        <v>1965</v>
      </c>
      <c r="C1721">
        <v>1680000</v>
      </c>
      <c r="D1721" t="s">
        <v>157</v>
      </c>
      <c r="E1721" t="s">
        <v>158</v>
      </c>
      <c r="F1721" t="s">
        <v>107</v>
      </c>
      <c r="G1721" t="s">
        <v>987</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25">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25">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25">
      <c r="A1724">
        <v>3170</v>
      </c>
      <c r="B1724" t="s">
        <v>1036</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25">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25">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25">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25">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25">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25">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25">
      <c r="A1731">
        <v>3177</v>
      </c>
      <c r="B1731" t="s">
        <v>1969</v>
      </c>
      <c r="C1731">
        <v>1732500</v>
      </c>
      <c r="D1731" t="s">
        <v>359</v>
      </c>
      <c r="E1731" t="s">
        <v>360</v>
      </c>
      <c r="F1731" t="s">
        <v>301</v>
      </c>
      <c r="G1731" t="s">
        <v>973</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25">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25">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25">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25">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25">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25">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25">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25">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25">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25">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25">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25">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25">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25">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25">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25">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25">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25">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25">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25">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25">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25">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25">
      <c r="A1754">
        <v>3200</v>
      </c>
      <c r="B1754" t="s">
        <v>1990</v>
      </c>
      <c r="C1754">
        <v>1575000</v>
      </c>
      <c r="D1754" t="s">
        <v>24</v>
      </c>
      <c r="E1754" t="s">
        <v>99</v>
      </c>
      <c r="F1754" t="s">
        <v>202</v>
      </c>
      <c r="G1754" t="s">
        <v>1283</v>
      </c>
      <c r="H1754">
        <v>2005</v>
      </c>
      <c r="I1754" t="s">
        <v>28</v>
      </c>
      <c r="J1754" t="s">
        <v>43</v>
      </c>
      <c r="K1754">
        <v>25413</v>
      </c>
      <c r="L1754">
        <v>3500</v>
      </c>
      <c r="M1754" t="s">
        <v>44</v>
      </c>
      <c r="N1754" t="s">
        <v>30</v>
      </c>
      <c r="O1754" t="s">
        <v>33</v>
      </c>
      <c r="P1754" t="s">
        <v>33</v>
      </c>
      <c r="Q1754" t="s">
        <v>74</v>
      </c>
      <c r="U1754" t="s">
        <v>1189</v>
      </c>
      <c r="V1754" t="s">
        <v>35</v>
      </c>
      <c r="W1754" t="s">
        <v>36</v>
      </c>
    </row>
    <row r="1755" spans="1:23" x14ac:dyDescent="0.25">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25">
      <c r="A1756">
        <v>3202</v>
      </c>
      <c r="B1756" t="s">
        <v>1992</v>
      </c>
      <c r="C1756">
        <v>3213000</v>
      </c>
      <c r="D1756" t="s">
        <v>178</v>
      </c>
      <c r="E1756" t="s">
        <v>179</v>
      </c>
      <c r="F1756" t="s">
        <v>107</v>
      </c>
      <c r="G1756" t="s">
        <v>1027</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25">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25">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25">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25">
      <c r="A1760">
        <v>3206</v>
      </c>
      <c r="B1760" t="s">
        <v>1996</v>
      </c>
      <c r="C1760">
        <v>6825000</v>
      </c>
      <c r="D1760" t="s">
        <v>178</v>
      </c>
      <c r="E1760" t="s">
        <v>179</v>
      </c>
      <c r="F1760" t="s">
        <v>237</v>
      </c>
      <c r="G1760" t="s">
        <v>1101</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25">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25">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25">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25">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25">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25">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25">
      <c r="A1767">
        <v>3213</v>
      </c>
      <c r="B1767" t="s">
        <v>1066</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25">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25">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25">
      <c r="A1770">
        <v>3216</v>
      </c>
      <c r="B1770" t="s">
        <v>887</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25">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25">
      <c r="A1772">
        <v>3218</v>
      </c>
      <c r="B1772" t="s">
        <v>1253</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25">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25">
      <c r="A1774">
        <v>3220</v>
      </c>
      <c r="B1774" t="s">
        <v>1035</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25">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25">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25">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25">
      <c r="A1778">
        <v>3224</v>
      </c>
      <c r="B1778" t="s">
        <v>2011</v>
      </c>
      <c r="C1778">
        <v>3087000</v>
      </c>
      <c r="D1778" t="s">
        <v>337</v>
      </c>
      <c r="E1778" t="s">
        <v>338</v>
      </c>
      <c r="F1778" t="s">
        <v>107</v>
      </c>
      <c r="G1778" t="s">
        <v>1027</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25">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25">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25">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25">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25">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1075</v>
      </c>
      <c r="P1783" t="s">
        <v>73</v>
      </c>
      <c r="Q1783" t="s">
        <v>74</v>
      </c>
      <c r="R1783">
        <v>5</v>
      </c>
      <c r="S1783">
        <v>6</v>
      </c>
      <c r="T1783">
        <v>268</v>
      </c>
      <c r="U1783" t="s">
        <v>45</v>
      </c>
      <c r="V1783" t="s">
        <v>35</v>
      </c>
      <c r="W1783" t="s">
        <v>36</v>
      </c>
    </row>
    <row r="1784" spans="1:23" x14ac:dyDescent="0.25">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25">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1154</v>
      </c>
      <c r="V1785" t="s">
        <v>35</v>
      </c>
      <c r="W1785" t="s">
        <v>200</v>
      </c>
    </row>
    <row r="1786" spans="1:23" x14ac:dyDescent="0.25">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25">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25">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25">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25">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25">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896</v>
      </c>
      <c r="P1791" t="s">
        <v>73</v>
      </c>
      <c r="Q1791" t="s">
        <v>74</v>
      </c>
      <c r="R1791">
        <v>7</v>
      </c>
      <c r="S1791">
        <v>6</v>
      </c>
      <c r="T1791">
        <v>300</v>
      </c>
      <c r="U1791" t="s">
        <v>45</v>
      </c>
      <c r="V1791" t="s">
        <v>35</v>
      </c>
      <c r="W1791" t="s">
        <v>36</v>
      </c>
    </row>
    <row r="1792" spans="1:23" x14ac:dyDescent="0.25">
      <c r="A1792">
        <v>3238</v>
      </c>
      <c r="B1792" t="s">
        <v>2025</v>
      </c>
      <c r="C1792">
        <v>8726550</v>
      </c>
      <c r="D1792" t="s">
        <v>38</v>
      </c>
      <c r="E1792" t="s">
        <v>155</v>
      </c>
      <c r="F1792" t="s">
        <v>58</v>
      </c>
      <c r="G1792" t="s">
        <v>1146</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25">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25">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25">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25">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25">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25">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25">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25">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25">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25">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25">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25">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25">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25">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25">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25">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25">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25">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25">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25">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25">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25">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25">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25">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25">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25">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25">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25">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25">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25">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25">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25">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25">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25">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25">
      <c r="A1827">
        <v>3273</v>
      </c>
      <c r="B1827" t="s">
        <v>1121</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25">
      <c r="A1828">
        <v>3274</v>
      </c>
      <c r="B1828" t="s">
        <v>2058</v>
      </c>
      <c r="C1828">
        <v>2310000</v>
      </c>
      <c r="D1828" t="s">
        <v>24</v>
      </c>
      <c r="E1828" t="s">
        <v>784</v>
      </c>
      <c r="F1828" t="s">
        <v>107</v>
      </c>
      <c r="G1828" t="s">
        <v>987</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25">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25">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25">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25">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25">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25">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25">
      <c r="A1835">
        <v>3281</v>
      </c>
      <c r="B1835" t="s">
        <v>1102</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25">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25">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25">
      <c r="A1838">
        <v>3284</v>
      </c>
      <c r="B1838" t="s">
        <v>1161</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25">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25">
      <c r="A1840">
        <v>3286</v>
      </c>
      <c r="B1840" t="s">
        <v>2068</v>
      </c>
      <c r="C1840">
        <v>6240004</v>
      </c>
      <c r="D1840" t="s">
        <v>24</v>
      </c>
      <c r="E1840" t="s">
        <v>175</v>
      </c>
      <c r="F1840" t="s">
        <v>26</v>
      </c>
      <c r="G1840" t="s">
        <v>1248</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25">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25">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25">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25">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25">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25">
      <c r="A1846">
        <v>3292</v>
      </c>
      <c r="B1846" t="s">
        <v>1788</v>
      </c>
      <c r="C1846">
        <v>45000000</v>
      </c>
      <c r="D1846" t="s">
        <v>24</v>
      </c>
      <c r="E1846" t="s">
        <v>47</v>
      </c>
      <c r="F1846" t="s">
        <v>48</v>
      </c>
      <c r="G1846" t="s">
        <v>1209</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25">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25">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25">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25">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25">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25">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25">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25">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25">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25">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25">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25">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25">
      <c r="A1859">
        <v>3305</v>
      </c>
      <c r="B1859" t="s">
        <v>2083</v>
      </c>
      <c r="C1859">
        <v>35700000</v>
      </c>
      <c r="D1859" t="s">
        <v>24</v>
      </c>
      <c r="E1859" t="s">
        <v>268</v>
      </c>
      <c r="F1859" t="s">
        <v>26</v>
      </c>
      <c r="G1859" t="s">
        <v>1248</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25">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25">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25">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25">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25">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25">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25">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25">
      <c r="A1867">
        <v>3313</v>
      </c>
      <c r="B1867" t="s">
        <v>929</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25">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25">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25">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25">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25">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25">
      <c r="A1873">
        <v>3319</v>
      </c>
      <c r="B1873" t="s">
        <v>1254</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25">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25">
      <c r="A1875">
        <v>3321</v>
      </c>
      <c r="B1875" t="s">
        <v>1294</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25">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25">
      <c r="A1877">
        <v>3323</v>
      </c>
      <c r="B1877" t="s">
        <v>2091</v>
      </c>
      <c r="C1877">
        <v>3360000</v>
      </c>
      <c r="D1877" t="s">
        <v>24</v>
      </c>
      <c r="E1877" t="s">
        <v>299</v>
      </c>
      <c r="F1877" t="s">
        <v>969</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25">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25">
      <c r="A1879">
        <v>3325</v>
      </c>
      <c r="B1879" t="s">
        <v>980</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25">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25">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25">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25">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25">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25">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25">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25">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25">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25">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25">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25">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25">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25">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25">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25">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25">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25">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25">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25">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25">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25">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25">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25">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25">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25">
      <c r="A1905">
        <v>3351</v>
      </c>
      <c r="B1905" t="s">
        <v>2115</v>
      </c>
      <c r="C1905">
        <v>5775000</v>
      </c>
      <c r="D1905" t="s">
        <v>24</v>
      </c>
      <c r="E1905" t="s">
        <v>47</v>
      </c>
      <c r="F1905" t="s">
        <v>69</v>
      </c>
      <c r="G1905" t="s">
        <v>1011</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25">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25">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25">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25">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25">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25">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25">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25">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25">
      <c r="A1914">
        <v>3360</v>
      </c>
      <c r="B1914" t="s">
        <v>1200</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25">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25">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25">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25">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25">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25">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25">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25">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25">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25">
      <c r="A1924">
        <v>3370</v>
      </c>
      <c r="B1924" t="s">
        <v>2130</v>
      </c>
      <c r="C1924">
        <v>13520000</v>
      </c>
      <c r="D1924" t="s">
        <v>38</v>
      </c>
      <c r="E1924" t="s">
        <v>65</v>
      </c>
      <c r="F1924" t="s">
        <v>58</v>
      </c>
      <c r="G1924" t="s">
        <v>1146</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25">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25">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25">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25">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25">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25">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25">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25">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25">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25">
      <c r="A1934">
        <v>3380</v>
      </c>
      <c r="B1934" t="s">
        <v>1070</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25">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25">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25">
      <c r="A1937">
        <v>3383</v>
      </c>
      <c r="B1937" t="s">
        <v>1070</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25">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25">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25">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25">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25">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25">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25">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25">
      <c r="A1945">
        <v>3391</v>
      </c>
      <c r="B1945" t="s">
        <v>2152</v>
      </c>
      <c r="C1945">
        <v>4200000</v>
      </c>
      <c r="D1945" t="s">
        <v>359</v>
      </c>
      <c r="E1945" t="s">
        <v>360</v>
      </c>
      <c r="F1945" t="s">
        <v>26</v>
      </c>
      <c r="G1945" t="s">
        <v>1248</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25">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25">
      <c r="A1947">
        <v>3393</v>
      </c>
      <c r="B1947" t="s">
        <v>2155</v>
      </c>
      <c r="C1947">
        <v>2625000</v>
      </c>
      <c r="D1947" t="s">
        <v>101</v>
      </c>
      <c r="E1947" t="s">
        <v>102</v>
      </c>
      <c r="F1947" t="s">
        <v>107</v>
      </c>
      <c r="G1947" t="s">
        <v>987</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25">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25">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25">
      <c r="A1950">
        <v>3396</v>
      </c>
      <c r="B1950" t="s">
        <v>2159</v>
      </c>
      <c r="C1950">
        <v>945000</v>
      </c>
      <c r="D1950" t="s">
        <v>257</v>
      </c>
      <c r="E1950" t="s">
        <v>258</v>
      </c>
      <c r="F1950" t="s">
        <v>1169</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25">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25">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25">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25">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25">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25">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25">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1189</v>
      </c>
      <c r="V1957" t="s">
        <v>35</v>
      </c>
      <c r="W1957" t="s">
        <v>36</v>
      </c>
    </row>
    <row r="1958" spans="1:23" x14ac:dyDescent="0.25">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25">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25">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25">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25">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25">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25">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25">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25">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25">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25">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25">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25">
      <c r="A1970">
        <v>3416</v>
      </c>
      <c r="B1970" t="s">
        <v>2176</v>
      </c>
      <c r="C1970">
        <v>8715000</v>
      </c>
      <c r="D1970" t="s">
        <v>38</v>
      </c>
      <c r="E1970" t="s">
        <v>92</v>
      </c>
      <c r="F1970" t="s">
        <v>1134</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25">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25">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25">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25">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25">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25">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25">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25">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922</v>
      </c>
      <c r="U1978" t="s">
        <v>33</v>
      </c>
      <c r="V1978" t="s">
        <v>35</v>
      </c>
      <c r="W1978" t="s">
        <v>36</v>
      </c>
    </row>
    <row r="1979" spans="1:23" x14ac:dyDescent="0.25">
      <c r="A1979">
        <v>3425</v>
      </c>
      <c r="B1979" t="s">
        <v>2188</v>
      </c>
      <c r="C1979">
        <v>1680000</v>
      </c>
      <c r="D1979" t="s">
        <v>24</v>
      </c>
      <c r="E1979" t="s">
        <v>95</v>
      </c>
      <c r="F1979" t="s">
        <v>478</v>
      </c>
      <c r="G1979" t="s">
        <v>1113</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25">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25">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25">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25">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25">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25">
      <c r="A1985">
        <v>3431</v>
      </c>
      <c r="B1985" t="s">
        <v>2193</v>
      </c>
      <c r="C1985">
        <v>1575000</v>
      </c>
      <c r="D1985" t="s">
        <v>38</v>
      </c>
      <c r="E1985" t="s">
        <v>39</v>
      </c>
      <c r="F1985" t="s">
        <v>58</v>
      </c>
      <c r="G1985" t="s">
        <v>946</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25">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25">
      <c r="A1987">
        <v>3433</v>
      </c>
      <c r="B1987" t="s">
        <v>2194</v>
      </c>
      <c r="C1987">
        <v>2625000</v>
      </c>
      <c r="D1987" t="s">
        <v>257</v>
      </c>
      <c r="E1987" t="s">
        <v>258</v>
      </c>
      <c r="F1987" t="s">
        <v>202</v>
      </c>
      <c r="G1987" t="s">
        <v>1033</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25">
      <c r="A1988">
        <v>3434</v>
      </c>
      <c r="B1988" t="s">
        <v>1009</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25">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25">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25">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25">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25">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25">
      <c r="A1994">
        <v>3440</v>
      </c>
      <c r="B1994" t="s">
        <v>948</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25">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25">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25">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25">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25">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25">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25">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25">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25">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25">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25">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25">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25">
      <c r="A2007">
        <v>3453</v>
      </c>
      <c r="B2007" t="s">
        <v>2211</v>
      </c>
      <c r="C2007">
        <v>3990000</v>
      </c>
      <c r="D2007" t="s">
        <v>24</v>
      </c>
      <c r="E2007" t="s">
        <v>95</v>
      </c>
      <c r="F2007" t="s">
        <v>107</v>
      </c>
      <c r="G2007" t="s">
        <v>1027</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25">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25">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25">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25">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25">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25">
      <c r="A2013">
        <v>3459</v>
      </c>
      <c r="B2013" t="s">
        <v>1136</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25">
      <c r="A2014">
        <v>3460</v>
      </c>
      <c r="B2014" t="s">
        <v>1215</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25">
      <c r="A2015">
        <v>3461</v>
      </c>
      <c r="B2015" t="s">
        <v>2220</v>
      </c>
      <c r="C2015">
        <v>1286250</v>
      </c>
      <c r="D2015" t="s">
        <v>24</v>
      </c>
      <c r="E2015" t="s">
        <v>784</v>
      </c>
      <c r="F2015" t="s">
        <v>107</v>
      </c>
      <c r="G2015" t="s">
        <v>1127</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25">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25">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25">
      <c r="A2018">
        <v>3464</v>
      </c>
      <c r="B2018" t="s">
        <v>2222</v>
      </c>
      <c r="C2018">
        <v>5040000</v>
      </c>
      <c r="D2018" t="s">
        <v>24</v>
      </c>
      <c r="E2018" t="s">
        <v>153</v>
      </c>
      <c r="F2018" t="s">
        <v>107</v>
      </c>
      <c r="G2018" t="s">
        <v>1027</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25">
      <c r="A2019">
        <v>3465</v>
      </c>
      <c r="B2019" t="s">
        <v>1070</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25">
      <c r="A2020">
        <v>3466</v>
      </c>
      <c r="B2020" t="s">
        <v>2224</v>
      </c>
      <c r="C2020">
        <v>1155000</v>
      </c>
      <c r="D2020" t="s">
        <v>24</v>
      </c>
      <c r="E2020" t="s">
        <v>125</v>
      </c>
      <c r="F2020" t="s">
        <v>237</v>
      </c>
      <c r="G2020" t="s">
        <v>900</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25">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25">
      <c r="A2022">
        <v>3468</v>
      </c>
      <c r="B2022" t="s">
        <v>2226</v>
      </c>
      <c r="C2022">
        <v>3432000</v>
      </c>
      <c r="D2022" t="s">
        <v>38</v>
      </c>
      <c r="E2022" t="s">
        <v>86</v>
      </c>
      <c r="F2022" t="s">
        <v>107</v>
      </c>
      <c r="G2022" t="s">
        <v>987</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25">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25">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25">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25">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25">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25">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25">
      <c r="A2029">
        <v>3475</v>
      </c>
      <c r="B2029" t="s">
        <v>903</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25">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25">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25">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25">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25">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25">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25">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25">
      <c r="A2037">
        <v>3483</v>
      </c>
      <c r="B2037" t="s">
        <v>928</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25">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25">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25">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25">
      <c r="A2041">
        <v>3487</v>
      </c>
      <c r="B2041" t="s">
        <v>958</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25">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25">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25">
      <c r="A2044">
        <v>3490</v>
      </c>
      <c r="B2044" t="s">
        <v>1239</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25">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25">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25">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25">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25">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25">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25">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25">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25">
      <c r="A2053">
        <v>3499</v>
      </c>
      <c r="B2053" t="s">
        <v>2252</v>
      </c>
      <c r="C2053">
        <v>3255000</v>
      </c>
      <c r="D2053" t="s">
        <v>24</v>
      </c>
      <c r="E2053" t="s">
        <v>25</v>
      </c>
      <c r="F2053" t="s">
        <v>118</v>
      </c>
      <c r="G2053" t="s">
        <v>1292</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25">
      <c r="A2054">
        <v>3500</v>
      </c>
      <c r="B2054" t="s">
        <v>2253</v>
      </c>
      <c r="C2054">
        <v>7140000</v>
      </c>
      <c r="D2054" t="s">
        <v>38</v>
      </c>
      <c r="E2054" t="s">
        <v>52</v>
      </c>
      <c r="F2054" t="s">
        <v>118</v>
      </c>
      <c r="G2054" t="s">
        <v>1014</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25">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25">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25">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25">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25">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25">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25">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25">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25">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25">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25">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25">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25">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25">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25">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25">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25">
      <c r="A2071">
        <v>3517</v>
      </c>
      <c r="B2071" t="s">
        <v>2193</v>
      </c>
      <c r="C2071">
        <v>1680000</v>
      </c>
      <c r="D2071" t="s">
        <v>133</v>
      </c>
      <c r="E2071" t="s">
        <v>134</v>
      </c>
      <c r="F2071" t="s">
        <v>58</v>
      </c>
      <c r="G2071" t="s">
        <v>946</v>
      </c>
      <c r="H2071">
        <v>2001</v>
      </c>
      <c r="I2071" t="s">
        <v>60</v>
      </c>
      <c r="J2071" t="s">
        <v>43</v>
      </c>
      <c r="L2071">
        <v>2600</v>
      </c>
      <c r="M2071" t="s">
        <v>44</v>
      </c>
      <c r="N2071" t="s">
        <v>44</v>
      </c>
      <c r="O2071" t="s">
        <v>33</v>
      </c>
      <c r="P2071" t="s">
        <v>33</v>
      </c>
      <c r="Q2071" t="s">
        <v>718</v>
      </c>
      <c r="U2071" t="s">
        <v>33</v>
      </c>
      <c r="V2071" t="s">
        <v>35</v>
      </c>
      <c r="W2071" t="s">
        <v>36</v>
      </c>
    </row>
    <row r="2072" spans="1:23" x14ac:dyDescent="0.25">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25">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25">
      <c r="A2074">
        <v>3520</v>
      </c>
      <c r="B2074" t="s">
        <v>2266</v>
      </c>
      <c r="C2074">
        <v>7350000</v>
      </c>
      <c r="D2074" t="s">
        <v>24</v>
      </c>
      <c r="E2074" t="s">
        <v>25</v>
      </c>
      <c r="F2074" t="s">
        <v>69</v>
      </c>
      <c r="G2074" t="s">
        <v>1011</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25">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25">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25">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25">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25">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25">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25">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25">
      <c r="A2082">
        <v>3528</v>
      </c>
      <c r="B2082" t="s">
        <v>1266</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25">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25">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25">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25">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25">
      <c r="A2087">
        <v>3533</v>
      </c>
      <c r="B2087" t="s">
        <v>2280</v>
      </c>
      <c r="C2087">
        <v>4200000</v>
      </c>
      <c r="D2087" t="s">
        <v>101</v>
      </c>
      <c r="E2087" t="s">
        <v>102</v>
      </c>
      <c r="F2087" t="s">
        <v>207</v>
      </c>
      <c r="G2087" t="s">
        <v>1247</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25">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25">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25">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25">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25">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25">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25">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25">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25">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25">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25">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25">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25">
      <c r="A2100">
        <v>3546</v>
      </c>
      <c r="B2100" t="s">
        <v>962</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25">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25">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25">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25">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25">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25">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25">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25">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25">
      <c r="A2109">
        <v>3555</v>
      </c>
      <c r="B2109" t="s">
        <v>2306</v>
      </c>
      <c r="C2109">
        <v>2585000</v>
      </c>
      <c r="D2109" t="s">
        <v>24</v>
      </c>
      <c r="E2109" t="s">
        <v>784</v>
      </c>
      <c r="F2109" t="s">
        <v>1169</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25">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25">
      <c r="A2111">
        <v>3557</v>
      </c>
      <c r="B2111" t="s">
        <v>1107</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25">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25">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25">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25">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25">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25">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25">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25">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25">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25">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25">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25">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25">
      <c r="A2124">
        <v>3570</v>
      </c>
      <c r="B2124" t="s">
        <v>2320</v>
      </c>
      <c r="C2124">
        <v>1612000</v>
      </c>
      <c r="D2124" t="s">
        <v>24</v>
      </c>
      <c r="E2124" t="s">
        <v>25</v>
      </c>
      <c r="F2124" t="s">
        <v>107</v>
      </c>
      <c r="G2124" t="s">
        <v>987</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25">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1041</v>
      </c>
      <c r="P2125" t="s">
        <v>32</v>
      </c>
      <c r="Q2125" t="s">
        <v>74</v>
      </c>
      <c r="S2125">
        <v>4</v>
      </c>
      <c r="T2125">
        <v>138</v>
      </c>
      <c r="U2125" t="s">
        <v>34</v>
      </c>
      <c r="V2125" t="s">
        <v>35</v>
      </c>
      <c r="W2125" t="s">
        <v>36</v>
      </c>
    </row>
    <row r="2126" spans="1:23" x14ac:dyDescent="0.25">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25">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25">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25">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25">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25">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25">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25">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25">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25">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25">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25">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25">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1189</v>
      </c>
      <c r="V2138" t="s">
        <v>35</v>
      </c>
      <c r="W2138" t="s">
        <v>36</v>
      </c>
    </row>
    <row r="2139" spans="1:23" x14ac:dyDescent="0.25">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25">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25">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25">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25">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25">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25">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25">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25">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25">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25">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25">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25">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25">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25">
      <c r="A2153">
        <v>3599</v>
      </c>
      <c r="B2153" t="s">
        <v>1010</v>
      </c>
      <c r="C2153">
        <v>7770000</v>
      </c>
      <c r="D2153" t="s">
        <v>38</v>
      </c>
      <c r="E2153" t="s">
        <v>39</v>
      </c>
      <c r="F2153" t="s">
        <v>69</v>
      </c>
      <c r="G2153" t="s">
        <v>1011</v>
      </c>
      <c r="H2153">
        <v>2007</v>
      </c>
      <c r="I2153" t="s">
        <v>50</v>
      </c>
      <c r="J2153" t="s">
        <v>43</v>
      </c>
      <c r="K2153">
        <v>30422</v>
      </c>
      <c r="L2153">
        <v>5400</v>
      </c>
      <c r="M2153" t="s">
        <v>44</v>
      </c>
      <c r="N2153" t="s">
        <v>30</v>
      </c>
      <c r="O2153" t="s">
        <v>1012</v>
      </c>
      <c r="P2153" t="s">
        <v>73</v>
      </c>
      <c r="Q2153" t="s">
        <v>87</v>
      </c>
      <c r="R2153">
        <v>6</v>
      </c>
      <c r="S2153">
        <v>8</v>
      </c>
      <c r="T2153">
        <v>234</v>
      </c>
      <c r="U2153" t="s">
        <v>453</v>
      </c>
      <c r="V2153" t="s">
        <v>35</v>
      </c>
      <c r="W2153" t="s">
        <v>36</v>
      </c>
    </row>
    <row r="2154" spans="1:23" x14ac:dyDescent="0.25">
      <c r="A2154">
        <v>3600</v>
      </c>
      <c r="B2154" t="s">
        <v>961</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25">
      <c r="A2155">
        <v>3601</v>
      </c>
      <c r="B2155" t="s">
        <v>1029</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25">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25">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25">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25">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25">
      <c r="A2160">
        <v>3606</v>
      </c>
      <c r="B2160" t="s">
        <v>2345</v>
      </c>
      <c r="C2160">
        <v>2100000</v>
      </c>
      <c r="D2160" t="s">
        <v>24</v>
      </c>
      <c r="E2160" t="s">
        <v>25</v>
      </c>
      <c r="F2160" t="s">
        <v>1169</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25">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25">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25">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25">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25">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25">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25">
      <c r="A2167">
        <v>3613</v>
      </c>
      <c r="B2167" t="s">
        <v>2353</v>
      </c>
      <c r="C2167">
        <v>8112000</v>
      </c>
      <c r="D2167" t="s">
        <v>157</v>
      </c>
      <c r="E2167" t="s">
        <v>158</v>
      </c>
      <c r="F2167" t="s">
        <v>40</v>
      </c>
      <c r="G2167" t="s">
        <v>1021</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25">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25">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25">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25">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25">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25">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25">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25">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25">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25">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25">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25">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25">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25">
      <c r="A2181">
        <v>3627</v>
      </c>
      <c r="B2181" t="s">
        <v>2363</v>
      </c>
      <c r="C2181">
        <v>7035000</v>
      </c>
      <c r="D2181" t="s">
        <v>337</v>
      </c>
      <c r="E2181" t="s">
        <v>338</v>
      </c>
      <c r="F2181" t="s">
        <v>69</v>
      </c>
      <c r="G2181" t="s">
        <v>1011</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25">
      <c r="A2182">
        <v>3628</v>
      </c>
      <c r="B2182" t="s">
        <v>1174</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25">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25">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25">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25">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1189</v>
      </c>
      <c r="V2186" t="s">
        <v>35</v>
      </c>
      <c r="W2186" t="s">
        <v>36</v>
      </c>
    </row>
    <row r="2187" spans="1:23" x14ac:dyDescent="0.25">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25">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25">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25">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25">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25">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25">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25">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25">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25">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25">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25">
      <c r="A2198">
        <v>3644</v>
      </c>
      <c r="B2198" t="s">
        <v>894</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25">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25">
      <c r="A2200">
        <v>3646</v>
      </c>
      <c r="B2200" t="s">
        <v>2381</v>
      </c>
      <c r="C2200">
        <v>3780000</v>
      </c>
      <c r="D2200" t="s">
        <v>38</v>
      </c>
      <c r="E2200" t="s">
        <v>242</v>
      </c>
      <c r="F2200" t="s">
        <v>237</v>
      </c>
      <c r="G2200" t="s">
        <v>1205</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25">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25">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25">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25">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25">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25">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25">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25">
      <c r="A2208">
        <v>3654</v>
      </c>
      <c r="B2208" t="s">
        <v>1070</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25">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25">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25">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25">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25">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25">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25">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25">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1189</v>
      </c>
      <c r="V2216" t="s">
        <v>35</v>
      </c>
      <c r="W2216" t="s">
        <v>36</v>
      </c>
    </row>
    <row r="2217" spans="1:23" x14ac:dyDescent="0.25">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25">
      <c r="A2218">
        <v>3664</v>
      </c>
      <c r="B2218" t="s">
        <v>2193</v>
      </c>
      <c r="C2218">
        <v>1470000</v>
      </c>
      <c r="D2218" t="s">
        <v>133</v>
      </c>
      <c r="E2218" t="s">
        <v>134</v>
      </c>
      <c r="F2218" t="s">
        <v>58</v>
      </c>
      <c r="G2218" t="s">
        <v>946</v>
      </c>
      <c r="H2218">
        <v>2001</v>
      </c>
      <c r="I2218" t="s">
        <v>60</v>
      </c>
      <c r="J2218" t="s">
        <v>43</v>
      </c>
      <c r="L2218">
        <v>2600</v>
      </c>
      <c r="M2218" t="s">
        <v>44</v>
      </c>
      <c r="N2218" t="s">
        <v>44</v>
      </c>
      <c r="O2218" t="s">
        <v>33</v>
      </c>
      <c r="P2218" t="s">
        <v>33</v>
      </c>
      <c r="Q2218" t="s">
        <v>74</v>
      </c>
      <c r="U2218" t="s">
        <v>33</v>
      </c>
      <c r="V2218" t="s">
        <v>35</v>
      </c>
      <c r="W2218" t="s">
        <v>36</v>
      </c>
    </row>
    <row r="2219" spans="1:23" x14ac:dyDescent="0.25">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25">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25">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25">
      <c r="A2222">
        <v>3668</v>
      </c>
      <c r="B2222" t="s">
        <v>2405</v>
      </c>
      <c r="C2222">
        <v>4725000</v>
      </c>
      <c r="D2222" t="s">
        <v>101</v>
      </c>
      <c r="E2222" t="s">
        <v>102</v>
      </c>
      <c r="F2222" t="s">
        <v>202</v>
      </c>
      <c r="G2222" t="s">
        <v>1033</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25">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25">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25">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25">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25">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25">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25">
      <c r="A2229">
        <v>3675</v>
      </c>
      <c r="B2229" t="s">
        <v>2413</v>
      </c>
      <c r="C2229">
        <v>3780000</v>
      </c>
      <c r="D2229" t="s">
        <v>38</v>
      </c>
      <c r="E2229" t="s">
        <v>62</v>
      </c>
      <c r="F2229" t="s">
        <v>118</v>
      </c>
      <c r="G2229" t="s">
        <v>906</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25">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25">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25">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25">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25">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25">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25">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25">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25">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25">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25">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25">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25">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25">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25">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25">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25">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25">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25">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25">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25">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25">
      <c r="A2251">
        <v>3697</v>
      </c>
      <c r="B2251" t="s">
        <v>2433</v>
      </c>
      <c r="C2251">
        <v>15120000</v>
      </c>
      <c r="D2251" t="s">
        <v>38</v>
      </c>
      <c r="E2251" t="s">
        <v>92</v>
      </c>
      <c r="F2251" t="s">
        <v>48</v>
      </c>
      <c r="G2251" t="s">
        <v>1209</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25">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1142</v>
      </c>
      <c r="P2252" t="s">
        <v>67</v>
      </c>
      <c r="Q2252" t="s">
        <v>55</v>
      </c>
      <c r="R2252">
        <v>5</v>
      </c>
      <c r="S2252">
        <v>4</v>
      </c>
      <c r="T2252">
        <v>158</v>
      </c>
      <c r="U2252" t="s">
        <v>34</v>
      </c>
      <c r="V2252" t="s">
        <v>35</v>
      </c>
      <c r="W2252" t="s">
        <v>36</v>
      </c>
    </row>
    <row r="2253" spans="1:23" x14ac:dyDescent="0.25">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25">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25">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25">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25">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25">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25">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25">
      <c r="A2260">
        <v>3706</v>
      </c>
      <c r="B2260" t="s">
        <v>1948</v>
      </c>
      <c r="C2260">
        <v>1575000</v>
      </c>
      <c r="D2260" t="s">
        <v>38</v>
      </c>
      <c r="E2260" t="s">
        <v>86</v>
      </c>
      <c r="F2260" t="s">
        <v>301</v>
      </c>
      <c r="G2260" t="s">
        <v>973</v>
      </c>
      <c r="H2260">
        <v>2008</v>
      </c>
      <c r="I2260" t="s">
        <v>63</v>
      </c>
      <c r="J2260" t="s">
        <v>43</v>
      </c>
      <c r="L2260">
        <v>2000</v>
      </c>
      <c r="M2260" t="s">
        <v>44</v>
      </c>
      <c r="N2260" t="s">
        <v>44</v>
      </c>
      <c r="O2260" t="s">
        <v>33</v>
      </c>
      <c r="P2260" t="s">
        <v>33</v>
      </c>
      <c r="Q2260" t="s">
        <v>2439</v>
      </c>
      <c r="U2260" t="s">
        <v>33</v>
      </c>
      <c r="V2260" t="s">
        <v>35</v>
      </c>
      <c r="W2260" t="s">
        <v>200</v>
      </c>
    </row>
    <row r="2261" spans="1:23" x14ac:dyDescent="0.25">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25">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25">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25">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25">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25">
      <c r="A2266">
        <v>3712</v>
      </c>
      <c r="B2266" t="s">
        <v>2444</v>
      </c>
      <c r="C2266">
        <v>1664000</v>
      </c>
      <c r="D2266" t="s">
        <v>359</v>
      </c>
      <c r="E2266" t="s">
        <v>360</v>
      </c>
      <c r="F2266" t="s">
        <v>301</v>
      </c>
      <c r="G2266" t="s">
        <v>973</v>
      </c>
      <c r="H2266">
        <v>2004</v>
      </c>
      <c r="I2266" t="s">
        <v>97</v>
      </c>
      <c r="J2266" t="s">
        <v>43</v>
      </c>
      <c r="K2266">
        <v>23296</v>
      </c>
      <c r="L2266">
        <v>2000</v>
      </c>
      <c r="M2266" t="s">
        <v>44</v>
      </c>
      <c r="N2266" t="s">
        <v>44</v>
      </c>
      <c r="O2266" t="s">
        <v>2445</v>
      </c>
      <c r="P2266" t="s">
        <v>33</v>
      </c>
      <c r="Q2266" t="s">
        <v>1363</v>
      </c>
      <c r="T2266">
        <v>131</v>
      </c>
      <c r="U2266" t="s">
        <v>1154</v>
      </c>
      <c r="V2266" t="s">
        <v>35</v>
      </c>
      <c r="W2266" t="s">
        <v>200</v>
      </c>
    </row>
    <row r="2267" spans="1:23" x14ac:dyDescent="0.25">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25">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25">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25">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25">
      <c r="A2271">
        <v>3717</v>
      </c>
      <c r="B2271" t="s">
        <v>2448</v>
      </c>
      <c r="C2271">
        <v>2625000</v>
      </c>
      <c r="D2271" t="s">
        <v>24</v>
      </c>
      <c r="E2271" t="s">
        <v>726</v>
      </c>
      <c r="F2271" t="s">
        <v>969</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25">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25">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25">
      <c r="A2274">
        <v>3720</v>
      </c>
      <c r="B2274" t="s">
        <v>2452</v>
      </c>
      <c r="C2274">
        <v>2625000</v>
      </c>
      <c r="D2274" t="s">
        <v>24</v>
      </c>
      <c r="E2274" t="s">
        <v>276</v>
      </c>
      <c r="F2274" t="s">
        <v>478</v>
      </c>
      <c r="G2274" t="s">
        <v>988</v>
      </c>
      <c r="H2274">
        <v>2008</v>
      </c>
      <c r="I2274" t="s">
        <v>50</v>
      </c>
      <c r="J2274" t="s">
        <v>43</v>
      </c>
      <c r="L2274">
        <v>3500</v>
      </c>
      <c r="M2274" t="s">
        <v>44</v>
      </c>
      <c r="N2274" t="s">
        <v>30</v>
      </c>
      <c r="O2274" t="s">
        <v>33</v>
      </c>
      <c r="P2274" t="s">
        <v>33</v>
      </c>
      <c r="Q2274" t="s">
        <v>74</v>
      </c>
      <c r="U2274" t="s">
        <v>220</v>
      </c>
      <c r="V2274" t="s">
        <v>35</v>
      </c>
      <c r="W2274" t="s">
        <v>36</v>
      </c>
    </row>
    <row r="2275" spans="1:23" x14ac:dyDescent="0.25">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25">
      <c r="A2276">
        <v>3722</v>
      </c>
      <c r="B2276" t="s">
        <v>892</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25">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25">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25">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25">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25">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25">
      <c r="A2282">
        <v>3728</v>
      </c>
      <c r="B2282" t="s">
        <v>1294</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25">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25">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25">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25">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25">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25">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25">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25">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25">
      <c r="A2291">
        <v>3748</v>
      </c>
      <c r="B2291" t="s">
        <v>1201</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25">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25">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25">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25">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25">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25">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25">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25">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25">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25">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25">
      <c r="A2302">
        <v>3759</v>
      </c>
      <c r="B2302" t="s">
        <v>939</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25">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25">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25">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25">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25">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25">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25">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25">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25">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25">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25">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25">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25">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25">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25">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25">
      <c r="A2318">
        <v>3775</v>
      </c>
      <c r="B2318" t="s">
        <v>940</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25">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25">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25">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25">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25">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25">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25">
      <c r="A2325">
        <v>3782</v>
      </c>
      <c r="B2325" t="s">
        <v>2488</v>
      </c>
      <c r="C2325">
        <v>13312000</v>
      </c>
      <c r="D2325" t="s">
        <v>38</v>
      </c>
      <c r="E2325" t="s">
        <v>62</v>
      </c>
      <c r="F2325" t="s">
        <v>58</v>
      </c>
      <c r="G2325" t="s">
        <v>1146</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25">
      <c r="A2326">
        <v>3783</v>
      </c>
      <c r="B2326" t="s">
        <v>2489</v>
      </c>
      <c r="C2326">
        <v>5720000</v>
      </c>
      <c r="D2326" t="s">
        <v>24</v>
      </c>
      <c r="E2326" t="s">
        <v>47</v>
      </c>
      <c r="F2326" t="s">
        <v>40</v>
      </c>
      <c r="G2326" t="s">
        <v>1021</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25">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25">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25">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25">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25">
      <c r="A2331">
        <v>3788</v>
      </c>
      <c r="B2331" t="s">
        <v>952</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25">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25">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25">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25">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25">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25">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25">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25">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25">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25">
      <c r="A2341">
        <v>3798</v>
      </c>
      <c r="B2341" t="s">
        <v>1294</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25">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25">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25">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25">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25">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25">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25">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25">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25">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25">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25">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25">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25">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25">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25">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25">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25">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25">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25">
      <c r="A2360">
        <v>3817</v>
      </c>
      <c r="B2360" t="s">
        <v>2514</v>
      </c>
      <c r="C2360">
        <v>1260000</v>
      </c>
      <c r="D2360" t="s">
        <v>24</v>
      </c>
      <c r="E2360" t="s">
        <v>125</v>
      </c>
      <c r="F2360" t="s">
        <v>478</v>
      </c>
      <c r="G2360" t="s">
        <v>1193</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25">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25">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25">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25">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25">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25">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25">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25">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25">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25">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25">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25">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25">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25">
      <c r="A2374">
        <v>3831</v>
      </c>
      <c r="B2374" t="s">
        <v>1253</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25">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25">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25">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25">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25">
      <c r="A2379">
        <v>3836</v>
      </c>
      <c r="B2379" t="s">
        <v>1253</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25">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25">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25">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25">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25">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25">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25">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25">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25">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25">
      <c r="A2389">
        <v>3846</v>
      </c>
      <c r="B2389" t="s">
        <v>1171</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25">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25">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25">
      <c r="A2392">
        <v>3849</v>
      </c>
      <c r="B2392" t="s">
        <v>1253</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25">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25">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25">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25">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25">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25">
      <c r="A2398">
        <v>3855</v>
      </c>
      <c r="B2398" t="s">
        <v>2541</v>
      </c>
      <c r="C2398">
        <v>8610000</v>
      </c>
      <c r="D2398" t="s">
        <v>24</v>
      </c>
      <c r="E2398" t="s">
        <v>125</v>
      </c>
      <c r="F2398" t="s">
        <v>69</v>
      </c>
      <c r="G2398" t="s">
        <v>1011</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25">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25">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25">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25">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25">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25">
      <c r="A2404">
        <v>3861</v>
      </c>
      <c r="B2404" t="s">
        <v>2545</v>
      </c>
      <c r="C2404">
        <v>2100000</v>
      </c>
      <c r="D2404" t="s">
        <v>38</v>
      </c>
      <c r="E2404" t="s">
        <v>39</v>
      </c>
      <c r="F2404" t="s">
        <v>301</v>
      </c>
      <c r="G2404" t="s">
        <v>973</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25">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25">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25">
      <c r="A2407">
        <v>3864</v>
      </c>
      <c r="B2407" t="s">
        <v>2548</v>
      </c>
      <c r="C2407">
        <v>17091375</v>
      </c>
      <c r="D2407" t="s">
        <v>24</v>
      </c>
      <c r="E2407" t="s">
        <v>299</v>
      </c>
      <c r="F2407" t="s">
        <v>40</v>
      </c>
      <c r="G2407" t="s">
        <v>1021</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25">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1142</v>
      </c>
      <c r="P2408" t="s">
        <v>67</v>
      </c>
      <c r="Q2408" t="s">
        <v>521</v>
      </c>
      <c r="R2408">
        <v>5</v>
      </c>
      <c r="S2408">
        <v>4</v>
      </c>
      <c r="T2408">
        <v>158</v>
      </c>
      <c r="U2408" t="s">
        <v>34</v>
      </c>
      <c r="V2408" t="s">
        <v>35</v>
      </c>
      <c r="W2408" t="s">
        <v>36</v>
      </c>
    </row>
    <row r="2409" spans="1:23" x14ac:dyDescent="0.25">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25">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25">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25">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25">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25">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25">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25">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25">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25">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25">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25">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25">
      <c r="A2421">
        <v>3878</v>
      </c>
      <c r="B2421" t="s">
        <v>2557</v>
      </c>
      <c r="C2421">
        <v>1995000</v>
      </c>
      <c r="D2421" t="s">
        <v>24</v>
      </c>
      <c r="E2421" t="s">
        <v>150</v>
      </c>
      <c r="F2421" t="s">
        <v>107</v>
      </c>
      <c r="G2421" t="s">
        <v>987</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25">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922</v>
      </c>
      <c r="U2422" t="s">
        <v>33</v>
      </c>
      <c r="V2422" t="s">
        <v>35</v>
      </c>
      <c r="W2422" t="s">
        <v>36</v>
      </c>
    </row>
    <row r="2423" spans="1:23" x14ac:dyDescent="0.25">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25">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25">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25">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25">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25">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25">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25">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25">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25">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25">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25">
      <c r="A2434">
        <v>3891</v>
      </c>
      <c r="B2434" t="s">
        <v>994</v>
      </c>
      <c r="C2434">
        <v>4725000</v>
      </c>
      <c r="D2434" t="s">
        <v>24</v>
      </c>
      <c r="E2434" t="s">
        <v>784</v>
      </c>
      <c r="F2434" t="s">
        <v>69</v>
      </c>
      <c r="G2434" t="s">
        <v>995</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25">
      <c r="A2435">
        <v>3892</v>
      </c>
      <c r="B2435" t="s">
        <v>1294</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25">
      <c r="A2436">
        <v>3893</v>
      </c>
      <c r="B2436" t="s">
        <v>2566</v>
      </c>
      <c r="C2436">
        <v>5040000</v>
      </c>
      <c r="D2436" t="s">
        <v>38</v>
      </c>
      <c r="E2436" t="s">
        <v>92</v>
      </c>
      <c r="F2436" t="s">
        <v>202</v>
      </c>
      <c r="G2436" t="s">
        <v>1033</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25">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25">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25">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1142</v>
      </c>
      <c r="P2439" t="s">
        <v>67</v>
      </c>
      <c r="Q2439" t="s">
        <v>74</v>
      </c>
      <c r="R2439">
        <v>5</v>
      </c>
      <c r="S2439">
        <v>4</v>
      </c>
      <c r="T2439">
        <v>160</v>
      </c>
      <c r="U2439" t="s">
        <v>34</v>
      </c>
      <c r="V2439" t="s">
        <v>35</v>
      </c>
      <c r="W2439" t="s">
        <v>36</v>
      </c>
    </row>
    <row r="2440" spans="1:23" x14ac:dyDescent="0.25">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25">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25">
      <c r="A2442">
        <v>3899</v>
      </c>
      <c r="B2442" t="s">
        <v>2575</v>
      </c>
      <c r="C2442">
        <v>3848000</v>
      </c>
      <c r="D2442" t="s">
        <v>337</v>
      </c>
      <c r="E2442" t="s">
        <v>338</v>
      </c>
      <c r="F2442" t="s">
        <v>40</v>
      </c>
      <c r="G2442" t="s">
        <v>1115</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25">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25">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25">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25">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25">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25">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25">
      <c r="A2449">
        <v>3906</v>
      </c>
      <c r="B2449" t="s">
        <v>2582</v>
      </c>
      <c r="C2449">
        <v>4305000</v>
      </c>
      <c r="D2449" t="s">
        <v>38</v>
      </c>
      <c r="E2449" t="s">
        <v>39</v>
      </c>
      <c r="F2449" t="s">
        <v>58</v>
      </c>
      <c r="G2449" t="s">
        <v>1023</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25">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25">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25">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25">
      <c r="A2453">
        <v>3910</v>
      </c>
      <c r="B2453" t="s">
        <v>1092</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25">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25">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25">
      <c r="A2456">
        <v>3913</v>
      </c>
      <c r="B2456" t="s">
        <v>1053</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25">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25">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25">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25">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25">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25">
      <c r="A2462">
        <v>3919</v>
      </c>
      <c r="B2462" t="s">
        <v>2591</v>
      </c>
      <c r="C2462">
        <v>5565000</v>
      </c>
      <c r="D2462" t="s">
        <v>24</v>
      </c>
      <c r="E2462" t="s">
        <v>299</v>
      </c>
      <c r="F2462" t="s">
        <v>135</v>
      </c>
      <c r="G2462" t="s">
        <v>1082</v>
      </c>
      <c r="H2462">
        <v>2010</v>
      </c>
      <c r="I2462" t="s">
        <v>42</v>
      </c>
      <c r="J2462" t="s">
        <v>29</v>
      </c>
      <c r="K2462">
        <v>26183</v>
      </c>
      <c r="L2462">
        <v>4000</v>
      </c>
      <c r="M2462" t="s">
        <v>30</v>
      </c>
      <c r="N2462" t="s">
        <v>30</v>
      </c>
      <c r="O2462" t="s">
        <v>33</v>
      </c>
      <c r="P2462" t="s">
        <v>33</v>
      </c>
      <c r="Q2462" t="s">
        <v>33</v>
      </c>
      <c r="U2462" t="s">
        <v>1189</v>
      </c>
      <c r="V2462" t="s">
        <v>35</v>
      </c>
      <c r="W2462" t="s">
        <v>36</v>
      </c>
    </row>
    <row r="2463" spans="1:23" x14ac:dyDescent="0.25">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25">
      <c r="A2464">
        <v>3921</v>
      </c>
      <c r="B2464" t="s">
        <v>919</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25">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25">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25">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25">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25">
      <c r="A2469">
        <v>3926</v>
      </c>
      <c r="B2469" t="s">
        <v>1263</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25">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25">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25">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25">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25">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25">
      <c r="A2475">
        <v>3932</v>
      </c>
      <c r="B2475" t="s">
        <v>2601</v>
      </c>
      <c r="C2475">
        <v>3045000</v>
      </c>
      <c r="D2475" t="s">
        <v>24</v>
      </c>
      <c r="E2475" t="s">
        <v>125</v>
      </c>
      <c r="F2475" t="s">
        <v>58</v>
      </c>
      <c r="G2475" t="s">
        <v>1023</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25">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25">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25">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25">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25">
      <c r="A2480">
        <v>3937</v>
      </c>
      <c r="B2480" t="s">
        <v>1070</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25">
      <c r="A2481">
        <v>3938</v>
      </c>
      <c r="B2481" t="s">
        <v>989</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25">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25">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25">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25">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25">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1189</v>
      </c>
      <c r="V2486" t="s">
        <v>35</v>
      </c>
      <c r="W2486" t="s">
        <v>200</v>
      </c>
    </row>
    <row r="2487" spans="1:23" x14ac:dyDescent="0.25">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25">
      <c r="A2488">
        <v>3945</v>
      </c>
      <c r="B2488" t="s">
        <v>2616</v>
      </c>
      <c r="C2488">
        <v>2100000</v>
      </c>
      <c r="D2488" t="s">
        <v>101</v>
      </c>
      <c r="E2488" t="s">
        <v>102</v>
      </c>
      <c r="F2488" t="s">
        <v>69</v>
      </c>
      <c r="G2488" t="s">
        <v>1011</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25">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25">
      <c r="A2490">
        <v>3947</v>
      </c>
      <c r="B2490" t="s">
        <v>1102</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25">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25">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25">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25">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25">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25">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25">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25">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25">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25">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25">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25">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25">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25">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25">
      <c r="A2505">
        <v>3962</v>
      </c>
      <c r="B2505" t="s">
        <v>961</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25">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25">
      <c r="A2507">
        <v>3964</v>
      </c>
      <c r="B2507" t="s">
        <v>1121</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25">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25">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25">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25">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25">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25">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25">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25">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1190</v>
      </c>
      <c r="U2515" t="s">
        <v>33</v>
      </c>
      <c r="V2515" t="s">
        <v>35</v>
      </c>
      <c r="W2515" t="s">
        <v>36</v>
      </c>
    </row>
    <row r="2516" spans="1:23" x14ac:dyDescent="0.25">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25">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25">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25">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25">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25">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25">
      <c r="A2522">
        <v>3979</v>
      </c>
      <c r="B2522" t="s">
        <v>1066</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25">
      <c r="A2523">
        <v>3980</v>
      </c>
      <c r="B2523" t="s">
        <v>2641</v>
      </c>
      <c r="C2523">
        <v>1522500</v>
      </c>
      <c r="D2523" t="s">
        <v>38</v>
      </c>
      <c r="E2523" t="s">
        <v>62</v>
      </c>
      <c r="F2523" t="s">
        <v>118</v>
      </c>
      <c r="G2523" t="s">
        <v>906</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25">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25">
      <c r="A2525">
        <v>3982</v>
      </c>
      <c r="B2525" t="s">
        <v>894</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25">
      <c r="A2526">
        <v>3983</v>
      </c>
      <c r="B2526" t="s">
        <v>2642</v>
      </c>
      <c r="C2526">
        <v>2415000</v>
      </c>
      <c r="D2526" t="s">
        <v>101</v>
      </c>
      <c r="E2526" t="s">
        <v>102</v>
      </c>
      <c r="F2526" t="s">
        <v>478</v>
      </c>
      <c r="G2526" t="s">
        <v>1193</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25">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25">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25">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25">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25">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25">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25">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25">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1075</v>
      </c>
      <c r="P2534" t="s">
        <v>73</v>
      </c>
      <c r="Q2534" t="s">
        <v>2650</v>
      </c>
      <c r="R2534">
        <v>5</v>
      </c>
      <c r="S2534">
        <v>6</v>
      </c>
      <c r="T2534">
        <v>268</v>
      </c>
      <c r="U2534" t="s">
        <v>45</v>
      </c>
      <c r="V2534" t="s">
        <v>35</v>
      </c>
      <c r="W2534" t="s">
        <v>36</v>
      </c>
    </row>
    <row r="2535" spans="1:23" x14ac:dyDescent="0.25">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25">
      <c r="A2536">
        <v>3993</v>
      </c>
      <c r="B2536" t="s">
        <v>1948</v>
      </c>
      <c r="C2536">
        <v>945000</v>
      </c>
      <c r="D2536" t="s">
        <v>110</v>
      </c>
      <c r="E2536" t="s">
        <v>111</v>
      </c>
      <c r="F2536" t="s">
        <v>301</v>
      </c>
      <c r="G2536" t="s">
        <v>973</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25">
      <c r="A2537">
        <v>3994</v>
      </c>
      <c r="B2537" t="s">
        <v>1505</v>
      </c>
      <c r="C2537">
        <v>3150000</v>
      </c>
      <c r="D2537" t="s">
        <v>24</v>
      </c>
      <c r="E2537" t="s">
        <v>114</v>
      </c>
      <c r="F2537" t="s">
        <v>969</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25">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25">
      <c r="A2539">
        <v>3996</v>
      </c>
      <c r="B2539" t="s">
        <v>1036</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25">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25">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25">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25">
      <c r="A2543">
        <v>4000</v>
      </c>
      <c r="B2543" t="s">
        <v>2656</v>
      </c>
      <c r="C2543">
        <v>1890000</v>
      </c>
      <c r="D2543" t="s">
        <v>24</v>
      </c>
      <c r="E2543" t="s">
        <v>95</v>
      </c>
      <c r="F2543" t="s">
        <v>69</v>
      </c>
      <c r="G2543" t="s">
        <v>1011</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25">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25">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25">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25">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25">
      <c r="A2548">
        <v>4005</v>
      </c>
      <c r="B2548" t="s">
        <v>2548</v>
      </c>
      <c r="C2548">
        <v>25875000</v>
      </c>
      <c r="D2548" t="s">
        <v>24</v>
      </c>
      <c r="E2548" t="s">
        <v>47</v>
      </c>
      <c r="F2548" t="s">
        <v>40</v>
      </c>
      <c r="G2548" t="s">
        <v>1021</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25">
      <c r="A2549">
        <v>4006</v>
      </c>
      <c r="B2549" t="s">
        <v>2661</v>
      </c>
      <c r="C2549">
        <v>3990000</v>
      </c>
      <c r="D2549" t="s">
        <v>24</v>
      </c>
      <c r="E2549" t="s">
        <v>114</v>
      </c>
      <c r="F2549" t="s">
        <v>135</v>
      </c>
      <c r="G2549" t="s">
        <v>1082</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25">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25">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25">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25">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1189</v>
      </c>
      <c r="V2553" t="s">
        <v>35</v>
      </c>
      <c r="W2553" t="s">
        <v>36</v>
      </c>
    </row>
    <row r="2554" spans="1:23" x14ac:dyDescent="0.25">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25">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25">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25">
      <c r="A2557">
        <v>4014</v>
      </c>
      <c r="B2557" t="s">
        <v>1095</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25">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25">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25">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25">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25">
      <c r="A2562">
        <v>4019</v>
      </c>
      <c r="B2562" t="s">
        <v>2673</v>
      </c>
      <c r="C2562">
        <v>1260000</v>
      </c>
      <c r="D2562" t="s">
        <v>38</v>
      </c>
      <c r="E2562" t="s">
        <v>86</v>
      </c>
      <c r="F2562" t="s">
        <v>202</v>
      </c>
      <c r="G2562" t="s">
        <v>1283</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25">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25">
      <c r="A2564">
        <v>4021</v>
      </c>
      <c r="B2564" t="s">
        <v>2675</v>
      </c>
      <c r="C2564">
        <v>2912000</v>
      </c>
      <c r="D2564" t="s">
        <v>521</v>
      </c>
      <c r="E2564" t="s">
        <v>522</v>
      </c>
      <c r="F2564" t="s">
        <v>58</v>
      </c>
      <c r="G2564" t="s">
        <v>946</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25">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25">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25">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25">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25">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25">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25">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25">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25">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25">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25">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25">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25">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25">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25">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25">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25">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25">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25">
      <c r="A2583">
        <v>4040</v>
      </c>
      <c r="B2583" t="s">
        <v>915</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25">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25">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25">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25">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25">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25">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25">
      <c r="A2590">
        <v>4047</v>
      </c>
      <c r="B2590" t="s">
        <v>2697</v>
      </c>
      <c r="C2590">
        <v>2520000</v>
      </c>
      <c r="D2590" t="s">
        <v>110</v>
      </c>
      <c r="E2590" t="s">
        <v>111</v>
      </c>
      <c r="F2590" t="s">
        <v>202</v>
      </c>
      <c r="G2590" t="s">
        <v>1033</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25">
      <c r="A2591">
        <v>4048</v>
      </c>
      <c r="B2591" t="s">
        <v>1161</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25">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1320</v>
      </c>
      <c r="P2592" t="s">
        <v>33</v>
      </c>
      <c r="Q2592" t="s">
        <v>702</v>
      </c>
      <c r="U2592" t="s">
        <v>33</v>
      </c>
      <c r="V2592" t="s">
        <v>35</v>
      </c>
      <c r="W2592" t="s">
        <v>36</v>
      </c>
    </row>
    <row r="2593" spans="1:23" x14ac:dyDescent="0.25">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25">
      <c r="A2594">
        <v>4051</v>
      </c>
      <c r="B2594" t="s">
        <v>2700</v>
      </c>
      <c r="C2594">
        <v>4725000</v>
      </c>
      <c r="D2594" t="s">
        <v>38</v>
      </c>
      <c r="E2594" t="s">
        <v>155</v>
      </c>
      <c r="F2594" t="s">
        <v>118</v>
      </c>
      <c r="G2594" t="s">
        <v>1045</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25">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25">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25">
      <c r="A2597">
        <v>4054</v>
      </c>
      <c r="B2597" t="s">
        <v>1760</v>
      </c>
      <c r="C2597">
        <v>1651125</v>
      </c>
      <c r="D2597" t="s">
        <v>178</v>
      </c>
      <c r="E2597" t="s">
        <v>179</v>
      </c>
      <c r="F2597" t="s">
        <v>58</v>
      </c>
      <c r="G2597" t="s">
        <v>946</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25">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25">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25">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25">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25">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25">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25">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25">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25">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25">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25">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25">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25">
      <c r="A2610">
        <v>4067</v>
      </c>
      <c r="B2610" t="s">
        <v>2710</v>
      </c>
      <c r="C2610">
        <v>15750000</v>
      </c>
      <c r="D2610" t="s">
        <v>38</v>
      </c>
      <c r="E2610" t="s">
        <v>92</v>
      </c>
      <c r="F2610" t="s">
        <v>118</v>
      </c>
      <c r="G2610" t="s">
        <v>906</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25">
      <c r="A2611">
        <v>4068</v>
      </c>
      <c r="B2611" t="s">
        <v>953</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25">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25">
      <c r="A2613">
        <v>4070</v>
      </c>
      <c r="B2613" t="s">
        <v>2712</v>
      </c>
      <c r="C2613">
        <v>1260000</v>
      </c>
      <c r="D2613" t="s">
        <v>38</v>
      </c>
      <c r="E2613" t="s">
        <v>86</v>
      </c>
      <c r="F2613" t="s">
        <v>301</v>
      </c>
      <c r="G2613" t="s">
        <v>973</v>
      </c>
      <c r="H2613">
        <v>2008</v>
      </c>
      <c r="I2613" t="s">
        <v>60</v>
      </c>
      <c r="J2613" t="s">
        <v>43</v>
      </c>
      <c r="L2613">
        <v>1800</v>
      </c>
      <c r="M2613" t="s">
        <v>44</v>
      </c>
      <c r="N2613" t="s">
        <v>44</v>
      </c>
      <c r="O2613" t="s">
        <v>33</v>
      </c>
      <c r="P2613" t="s">
        <v>33</v>
      </c>
      <c r="Q2613" t="s">
        <v>527</v>
      </c>
      <c r="U2613" t="s">
        <v>33</v>
      </c>
      <c r="V2613" t="s">
        <v>35</v>
      </c>
      <c r="W2613" t="s">
        <v>200</v>
      </c>
    </row>
    <row r="2614" spans="1:23" x14ac:dyDescent="0.25">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25">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25">
      <c r="A2616">
        <v>4073</v>
      </c>
      <c r="B2616" t="s">
        <v>947</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25">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25">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25">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25">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25">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25">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25">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25">
      <c r="A2624">
        <v>4081</v>
      </c>
      <c r="B2624" t="s">
        <v>1286</v>
      </c>
      <c r="C2624">
        <v>840000</v>
      </c>
      <c r="D2624" t="s">
        <v>38</v>
      </c>
      <c r="E2624" t="s">
        <v>242</v>
      </c>
      <c r="F2624" t="s">
        <v>301</v>
      </c>
      <c r="G2624" t="s">
        <v>973</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25">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25">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25">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25">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25">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25">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25">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25">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25">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25">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25">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25">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25">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25">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25">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25">
      <c r="A2640">
        <v>4097</v>
      </c>
      <c r="B2640" t="s">
        <v>1733</v>
      </c>
      <c r="C2640">
        <v>2625000</v>
      </c>
      <c r="D2640" t="s">
        <v>110</v>
      </c>
      <c r="E2640" t="s">
        <v>111</v>
      </c>
      <c r="F2640" t="s">
        <v>478</v>
      </c>
      <c r="G2640" t="s">
        <v>1193</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25">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25">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25">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25">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25">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25">
      <c r="A2646">
        <v>4103</v>
      </c>
      <c r="B2646" t="s">
        <v>2740</v>
      </c>
      <c r="C2646">
        <v>3570000</v>
      </c>
      <c r="D2646" t="s">
        <v>101</v>
      </c>
      <c r="E2646" t="s">
        <v>102</v>
      </c>
      <c r="F2646" t="s">
        <v>252</v>
      </c>
      <c r="G2646" t="s">
        <v>1256</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25">
      <c r="A2647">
        <v>4104</v>
      </c>
      <c r="B2647" t="s">
        <v>2741</v>
      </c>
      <c r="C2647">
        <v>1577500</v>
      </c>
      <c r="D2647" t="s">
        <v>110</v>
      </c>
      <c r="E2647" t="s">
        <v>111</v>
      </c>
      <c r="F2647" t="s">
        <v>118</v>
      </c>
      <c r="G2647" t="s">
        <v>902</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25">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25">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25">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25">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25">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25">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25">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25">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25">
      <c r="A2656">
        <v>4113</v>
      </c>
      <c r="B2656" t="s">
        <v>898</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25">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25">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25">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25">
      <c r="A2660">
        <v>4117</v>
      </c>
      <c r="B2660" t="s">
        <v>1121</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25">
      <c r="A2661">
        <v>4118</v>
      </c>
      <c r="B2661" t="s">
        <v>1167</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25">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25">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25">
      <c r="A2664">
        <v>4121</v>
      </c>
      <c r="B2664" t="s">
        <v>1087</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25">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25">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25">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25">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25">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25">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932</v>
      </c>
      <c r="V2670" t="s">
        <v>35</v>
      </c>
      <c r="W2670" t="s">
        <v>36</v>
      </c>
    </row>
    <row r="2671" spans="1:23" x14ac:dyDescent="0.25">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25">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25">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1189</v>
      </c>
      <c r="V2673" t="s">
        <v>35</v>
      </c>
      <c r="W2673" t="s">
        <v>36</v>
      </c>
    </row>
    <row r="2674" spans="1:23" x14ac:dyDescent="0.25">
      <c r="A2674">
        <v>4131</v>
      </c>
      <c r="B2674" t="s">
        <v>1161</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25">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25">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25">
      <c r="A2677">
        <v>4134</v>
      </c>
      <c r="B2677" t="s">
        <v>2764</v>
      </c>
      <c r="C2677">
        <v>1890000</v>
      </c>
      <c r="D2677" t="s">
        <v>38</v>
      </c>
      <c r="E2677" t="s">
        <v>92</v>
      </c>
      <c r="F2677" t="s">
        <v>1134</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25">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25">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1251</v>
      </c>
      <c r="P2679" t="s">
        <v>32</v>
      </c>
      <c r="Q2679" t="s">
        <v>55</v>
      </c>
      <c r="R2679">
        <v>5</v>
      </c>
      <c r="S2679">
        <v>4</v>
      </c>
      <c r="T2679">
        <v>130</v>
      </c>
      <c r="U2679" t="s">
        <v>34</v>
      </c>
      <c r="V2679" t="s">
        <v>35</v>
      </c>
      <c r="W2679" t="s">
        <v>340</v>
      </c>
    </row>
    <row r="2680" spans="1:23" x14ac:dyDescent="0.25">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25">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25">
      <c r="A2682">
        <v>4139</v>
      </c>
      <c r="B2682" t="s">
        <v>928</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25">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25">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25">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25">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25">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25">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25">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25">
      <c r="A2690">
        <v>4147</v>
      </c>
      <c r="B2690" t="s">
        <v>1262</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25">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1075</v>
      </c>
      <c r="P2691" t="s">
        <v>73</v>
      </c>
      <c r="Q2691" t="s">
        <v>55</v>
      </c>
      <c r="R2691">
        <v>5</v>
      </c>
      <c r="S2691">
        <v>6</v>
      </c>
      <c r="T2691">
        <v>302</v>
      </c>
      <c r="U2691" t="s">
        <v>45</v>
      </c>
      <c r="V2691" t="s">
        <v>35</v>
      </c>
      <c r="W2691" t="s">
        <v>36</v>
      </c>
    </row>
    <row r="2692" spans="1:23" x14ac:dyDescent="0.25">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25">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25">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25">
      <c r="A2695">
        <v>4152</v>
      </c>
      <c r="B2695" t="s">
        <v>2776</v>
      </c>
      <c r="C2695">
        <v>1575000</v>
      </c>
      <c r="D2695" t="s">
        <v>24</v>
      </c>
      <c r="E2695" t="s">
        <v>125</v>
      </c>
      <c r="F2695" t="s">
        <v>1134</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25">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25">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25">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25">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25">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25">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25">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25">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25">
      <c r="A2704">
        <v>4161</v>
      </c>
      <c r="B2704" t="s">
        <v>2793</v>
      </c>
      <c r="C2704">
        <v>7350000</v>
      </c>
      <c r="D2704" t="s">
        <v>24</v>
      </c>
      <c r="E2704" t="s">
        <v>47</v>
      </c>
      <c r="F2704" t="s">
        <v>478</v>
      </c>
      <c r="G2704" t="s">
        <v>964</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25">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25">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25">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25">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25">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25">
      <c r="A2710">
        <v>4167</v>
      </c>
      <c r="B2710" t="s">
        <v>2799</v>
      </c>
      <c r="C2710">
        <v>2310000</v>
      </c>
      <c r="D2710" t="s">
        <v>38</v>
      </c>
      <c r="E2710" t="s">
        <v>62</v>
      </c>
      <c r="F2710" t="s">
        <v>118</v>
      </c>
      <c r="G2710" t="s">
        <v>1292</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25">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25">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25">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25">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25">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25">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25">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25">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25">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25">
      <c r="A2720">
        <v>4177</v>
      </c>
      <c r="B2720" t="s">
        <v>892</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25">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25">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25">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25">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25">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25">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25">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25">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25">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25">
      <c r="A2730">
        <v>4187</v>
      </c>
      <c r="B2730" t="s">
        <v>2816</v>
      </c>
      <c r="C2730">
        <v>5065000</v>
      </c>
      <c r="D2730" t="s">
        <v>24</v>
      </c>
      <c r="E2730" t="s">
        <v>47</v>
      </c>
      <c r="F2730" t="s">
        <v>969</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25">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25">
      <c r="A2732">
        <v>4189</v>
      </c>
      <c r="B2732" t="s">
        <v>929</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25">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25">
      <c r="A2734">
        <v>4191</v>
      </c>
      <c r="B2734" t="s">
        <v>2821</v>
      </c>
      <c r="C2734">
        <v>945000</v>
      </c>
      <c r="D2734" t="s">
        <v>101</v>
      </c>
      <c r="E2734" t="s">
        <v>102</v>
      </c>
      <c r="F2734" t="s">
        <v>107</v>
      </c>
      <c r="G2734" t="s">
        <v>987</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25">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25">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25">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25">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25">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25">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25">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25">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25">
      <c r="A2743">
        <v>4200</v>
      </c>
      <c r="B2743" t="s">
        <v>2828</v>
      </c>
      <c r="C2743">
        <v>5166000</v>
      </c>
      <c r="D2743" t="s">
        <v>24</v>
      </c>
      <c r="E2743" t="s">
        <v>114</v>
      </c>
      <c r="F2743" t="s">
        <v>202</v>
      </c>
      <c r="G2743" t="s">
        <v>1033</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25">
      <c r="A2744">
        <v>4201</v>
      </c>
      <c r="B2744" t="s">
        <v>1067</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25">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25">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25">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1154</v>
      </c>
      <c r="V2747" t="s">
        <v>35</v>
      </c>
      <c r="W2747" t="s">
        <v>200</v>
      </c>
    </row>
    <row r="2748" spans="1:23" x14ac:dyDescent="0.25">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25">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25">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25">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25">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25">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25">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25">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25">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25">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25">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25">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1189</v>
      </c>
      <c r="V2759" t="s">
        <v>35</v>
      </c>
      <c r="W2759" t="s">
        <v>36</v>
      </c>
    </row>
    <row r="2760" spans="1:23" x14ac:dyDescent="0.25">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25">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25">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25">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25">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25">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25">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25">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25">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25">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25">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25">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25">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1154</v>
      </c>
      <c r="V2772" t="s">
        <v>35</v>
      </c>
      <c r="W2772" t="s">
        <v>36</v>
      </c>
    </row>
    <row r="2773" spans="1:23" x14ac:dyDescent="0.25">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25">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25">
      <c r="A2775">
        <v>4232</v>
      </c>
      <c r="B2775" t="s">
        <v>2856</v>
      </c>
      <c r="C2775">
        <v>4725000</v>
      </c>
      <c r="D2775" t="s">
        <v>24</v>
      </c>
      <c r="E2775" t="s">
        <v>47</v>
      </c>
      <c r="F2775" t="s">
        <v>969</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25">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25">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25">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25">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25">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25">
      <c r="A2781">
        <v>4238</v>
      </c>
      <c r="B2781" t="s">
        <v>2862</v>
      </c>
      <c r="C2781">
        <v>25515000</v>
      </c>
      <c r="D2781" t="s">
        <v>24</v>
      </c>
      <c r="E2781" t="s">
        <v>47</v>
      </c>
      <c r="F2781" t="s">
        <v>40</v>
      </c>
      <c r="G2781" t="s">
        <v>1021</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25">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25">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25">
      <c r="A2784">
        <v>4241</v>
      </c>
      <c r="B2784" t="s">
        <v>2865</v>
      </c>
      <c r="C2784">
        <v>3255000</v>
      </c>
      <c r="D2784" t="s">
        <v>101</v>
      </c>
      <c r="E2784" t="s">
        <v>102</v>
      </c>
      <c r="F2784" t="s">
        <v>1134</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25">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25">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1002</v>
      </c>
      <c r="U2786" t="s">
        <v>33</v>
      </c>
      <c r="V2786" t="s">
        <v>35</v>
      </c>
      <c r="W2786" t="s">
        <v>36</v>
      </c>
    </row>
    <row r="2787" spans="1:23" x14ac:dyDescent="0.25">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25">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25">
      <c r="A2789">
        <v>4246</v>
      </c>
      <c r="B2789" t="s">
        <v>2869</v>
      </c>
      <c r="C2789">
        <v>3744000</v>
      </c>
      <c r="D2789" t="s">
        <v>157</v>
      </c>
      <c r="E2789" t="s">
        <v>158</v>
      </c>
      <c r="F2789" t="s">
        <v>107</v>
      </c>
      <c r="G2789" t="s">
        <v>1027</v>
      </c>
      <c r="H2789">
        <v>2006</v>
      </c>
      <c r="I2789" t="s">
        <v>50</v>
      </c>
      <c r="J2789" t="s">
        <v>43</v>
      </c>
      <c r="K2789">
        <v>39632</v>
      </c>
      <c r="L2789">
        <v>3500</v>
      </c>
      <c r="M2789" t="s">
        <v>44</v>
      </c>
      <c r="N2789" t="s">
        <v>44</v>
      </c>
      <c r="O2789" t="s">
        <v>1179</v>
      </c>
      <c r="P2789" t="s">
        <v>73</v>
      </c>
      <c r="Q2789" t="s">
        <v>74</v>
      </c>
      <c r="R2789">
        <v>5</v>
      </c>
      <c r="S2789">
        <v>6</v>
      </c>
      <c r="T2789">
        <v>250</v>
      </c>
      <c r="U2789" t="s">
        <v>610</v>
      </c>
      <c r="V2789" t="s">
        <v>35</v>
      </c>
      <c r="W2789" t="s">
        <v>36</v>
      </c>
    </row>
    <row r="2790" spans="1:23" x14ac:dyDescent="0.25">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25">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25">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25">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25">
      <c r="A2794">
        <v>4251</v>
      </c>
      <c r="B2794" t="s">
        <v>2873</v>
      </c>
      <c r="C2794">
        <v>7280000</v>
      </c>
      <c r="D2794" t="s">
        <v>382</v>
      </c>
      <c r="E2794" t="s">
        <v>383</v>
      </c>
      <c r="F2794" t="s">
        <v>40</v>
      </c>
      <c r="G2794" t="s">
        <v>1021</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25">
      <c r="A2795">
        <v>4252</v>
      </c>
      <c r="B2795" t="s">
        <v>2874</v>
      </c>
      <c r="C2795">
        <v>2730000</v>
      </c>
      <c r="D2795" t="s">
        <v>24</v>
      </c>
      <c r="E2795" t="s">
        <v>276</v>
      </c>
      <c r="F2795" t="s">
        <v>135</v>
      </c>
      <c r="G2795" t="s">
        <v>1082</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25">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25">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25">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25">
      <c r="A2799">
        <v>4256</v>
      </c>
      <c r="B2799" t="s">
        <v>2880</v>
      </c>
      <c r="C2799">
        <v>6760000</v>
      </c>
      <c r="D2799" t="s">
        <v>24</v>
      </c>
      <c r="E2799" t="s">
        <v>276</v>
      </c>
      <c r="F2799" t="s">
        <v>237</v>
      </c>
      <c r="G2799" t="s">
        <v>1101</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25">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25">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25">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25">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25">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25">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25">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25">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25">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25">
      <c r="A2809">
        <v>4266</v>
      </c>
      <c r="B2809" t="s">
        <v>2889</v>
      </c>
      <c r="C2809">
        <v>10500000</v>
      </c>
      <c r="D2809" t="s">
        <v>38</v>
      </c>
      <c r="E2809" t="s">
        <v>39</v>
      </c>
      <c r="F2809" t="s">
        <v>969</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25">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25">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25">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25">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25">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25">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25">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25">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25">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25">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25">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25">
      <c r="A2821">
        <v>4278</v>
      </c>
      <c r="B2821" t="s">
        <v>947</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25">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25">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25">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25">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25">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25">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25">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25">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25">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25">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25">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25">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25">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25">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25">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25">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25">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25">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25">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25">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25">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25">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25">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25">
      <c r="A2845">
        <v>4302</v>
      </c>
      <c r="B2845" t="s">
        <v>1009</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25">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25">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25">
      <c r="A2848">
        <v>4305</v>
      </c>
      <c r="B2848" t="s">
        <v>944</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25">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25">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25">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25">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25">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25">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25">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25">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25">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25">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25">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25">
      <c r="A2860">
        <v>4317</v>
      </c>
      <c r="B2860" t="s">
        <v>2930</v>
      </c>
      <c r="C2860">
        <v>1820000</v>
      </c>
      <c r="D2860" t="s">
        <v>359</v>
      </c>
      <c r="E2860" t="s">
        <v>360</v>
      </c>
      <c r="F2860" t="s">
        <v>301</v>
      </c>
      <c r="G2860" t="s">
        <v>973</v>
      </c>
      <c r="H2860">
        <v>2004</v>
      </c>
      <c r="I2860" t="s">
        <v>60</v>
      </c>
      <c r="J2860" t="s">
        <v>43</v>
      </c>
      <c r="K2860">
        <v>25013</v>
      </c>
      <c r="L2860">
        <v>2000</v>
      </c>
      <c r="M2860" t="s">
        <v>44</v>
      </c>
      <c r="N2860" t="s">
        <v>44</v>
      </c>
      <c r="O2860" t="s">
        <v>2931</v>
      </c>
      <c r="P2860" t="s">
        <v>33</v>
      </c>
      <c r="Q2860" t="s">
        <v>359</v>
      </c>
      <c r="T2860">
        <v>134</v>
      </c>
      <c r="U2860" t="s">
        <v>1154</v>
      </c>
      <c r="V2860" t="s">
        <v>35</v>
      </c>
      <c r="W2860" t="s">
        <v>200</v>
      </c>
    </row>
    <row r="2861" spans="1:23" x14ac:dyDescent="0.25">
      <c r="A2861">
        <v>4318</v>
      </c>
      <c r="B2861" t="s">
        <v>2873</v>
      </c>
      <c r="C2861">
        <v>10940000</v>
      </c>
      <c r="D2861" t="s">
        <v>24</v>
      </c>
      <c r="E2861" t="s">
        <v>150</v>
      </c>
      <c r="F2861" t="s">
        <v>40</v>
      </c>
      <c r="G2861" t="s">
        <v>1021</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25">
      <c r="A2862">
        <v>4319</v>
      </c>
      <c r="B2862" t="s">
        <v>2932</v>
      </c>
      <c r="C2862">
        <v>19950000</v>
      </c>
      <c r="D2862" t="s">
        <v>24</v>
      </c>
      <c r="E2862" t="s">
        <v>125</v>
      </c>
      <c r="F2862" t="s">
        <v>48</v>
      </c>
      <c r="G2862" t="s">
        <v>1209</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25">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25">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25">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25">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1251</v>
      </c>
      <c r="P2866" t="s">
        <v>73</v>
      </c>
      <c r="Q2866" t="s">
        <v>74</v>
      </c>
      <c r="R2866">
        <v>5</v>
      </c>
      <c r="S2866">
        <v>4</v>
      </c>
      <c r="T2866">
        <v>172</v>
      </c>
      <c r="U2866" t="s">
        <v>590</v>
      </c>
      <c r="V2866" t="s">
        <v>35</v>
      </c>
      <c r="W2866" t="s">
        <v>36</v>
      </c>
    </row>
    <row r="2867" spans="1:23" x14ac:dyDescent="0.25">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25">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25">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25">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25">
      <c r="A2871">
        <v>4328</v>
      </c>
      <c r="B2871" t="s">
        <v>2939</v>
      </c>
      <c r="C2871">
        <v>3990000</v>
      </c>
      <c r="D2871" t="s">
        <v>24</v>
      </c>
      <c r="E2871" t="s">
        <v>268</v>
      </c>
      <c r="F2871" t="s">
        <v>58</v>
      </c>
      <c r="G2871" t="s">
        <v>1023</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25">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25">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25">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25">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25">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25">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25">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25">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25">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25">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25">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25">
      <c r="A2883">
        <v>4340</v>
      </c>
      <c r="B2883" t="s">
        <v>948</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25">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25">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25">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25">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25">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25">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25">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25">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25">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25">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25">
      <c r="A2894">
        <v>4351</v>
      </c>
      <c r="B2894" t="s">
        <v>2959</v>
      </c>
      <c r="C2894">
        <v>6930000</v>
      </c>
      <c r="D2894" t="s">
        <v>382</v>
      </c>
      <c r="E2894" t="s">
        <v>383</v>
      </c>
      <c r="F2894" t="s">
        <v>40</v>
      </c>
      <c r="G2894" t="s">
        <v>1021</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25">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D1081-F145-49AC-802B-C55455BF0EB4}">
  <dimension ref="B1:K37"/>
  <sheetViews>
    <sheetView workbookViewId="0">
      <selection activeCell="G24" sqref="G24"/>
    </sheetView>
  </sheetViews>
  <sheetFormatPr defaultRowHeight="15" x14ac:dyDescent="0.25"/>
  <cols>
    <col min="2" max="2" width="21.85546875" bestFit="1" customWidth="1"/>
    <col min="3" max="3" width="19.5703125" bestFit="1" customWidth="1"/>
    <col min="4" max="4" width="13.42578125" bestFit="1" customWidth="1"/>
    <col min="5" max="5" width="17.7109375" bestFit="1" customWidth="1"/>
    <col min="8" max="8" width="13.42578125" bestFit="1" customWidth="1"/>
    <col min="9" max="9" width="17.7109375" bestFit="1" customWidth="1"/>
  </cols>
  <sheetData>
    <row r="1" spans="2:11" x14ac:dyDescent="0.25">
      <c r="D1" t="s">
        <v>2968</v>
      </c>
      <c r="H1" t="s">
        <v>2972</v>
      </c>
    </row>
    <row r="2" spans="2:11" x14ac:dyDescent="0.25">
      <c r="B2" t="s">
        <v>2961</v>
      </c>
      <c r="D2" s="1" t="s">
        <v>2966</v>
      </c>
      <c r="E2" t="s">
        <v>2965</v>
      </c>
      <c r="H2" s="1" t="s">
        <v>2966</v>
      </c>
      <c r="I2" t="s">
        <v>2965</v>
      </c>
      <c r="J2" t="s">
        <v>2970</v>
      </c>
      <c r="K2" t="s">
        <v>2971</v>
      </c>
    </row>
    <row r="3" spans="2:11" x14ac:dyDescent="0.25">
      <c r="B3" s="7">
        <v>8912823.9315895364</v>
      </c>
      <c r="D3" s="3" t="s">
        <v>77</v>
      </c>
      <c r="E3" s="2">
        <v>13</v>
      </c>
      <c r="H3" s="3" t="s">
        <v>157</v>
      </c>
      <c r="I3" s="2">
        <v>6</v>
      </c>
      <c r="J3" t="str">
        <f>H3</f>
        <v>Akwa Ibom</v>
      </c>
      <c r="K3">
        <f>I3</f>
        <v>6</v>
      </c>
    </row>
    <row r="4" spans="2:11" x14ac:dyDescent="0.25">
      <c r="D4" s="3" t="s">
        <v>69</v>
      </c>
      <c r="E4" s="2">
        <v>24</v>
      </c>
      <c r="H4" s="3" t="s">
        <v>178</v>
      </c>
      <c r="I4" s="2">
        <v>1</v>
      </c>
      <c r="J4" t="str">
        <f t="shared" ref="J4:K15" si="0">H4</f>
        <v>Anambra</v>
      </c>
      <c r="K4">
        <f t="shared" si="0"/>
        <v>1</v>
      </c>
    </row>
    <row r="5" spans="2:11" x14ac:dyDescent="0.25">
      <c r="D5" s="3" t="s">
        <v>107</v>
      </c>
      <c r="E5" s="2">
        <v>19</v>
      </c>
      <c r="H5" s="3" t="s">
        <v>133</v>
      </c>
      <c r="I5" s="2">
        <v>2</v>
      </c>
      <c r="J5" t="str">
        <f t="shared" si="0"/>
        <v>Delta</v>
      </c>
      <c r="K5">
        <f t="shared" si="0"/>
        <v>2</v>
      </c>
    </row>
    <row r="6" spans="2:11" x14ac:dyDescent="0.25">
      <c r="D6" s="3" t="s">
        <v>237</v>
      </c>
      <c r="E6" s="2">
        <v>22</v>
      </c>
      <c r="H6" s="3" t="s">
        <v>382</v>
      </c>
      <c r="I6" s="2">
        <v>8</v>
      </c>
      <c r="J6" t="str">
        <f t="shared" si="0"/>
        <v>Edo</v>
      </c>
      <c r="K6">
        <f t="shared" si="0"/>
        <v>8</v>
      </c>
    </row>
    <row r="7" spans="2:11" x14ac:dyDescent="0.25">
      <c r="B7" t="s">
        <v>2962</v>
      </c>
      <c r="D7" s="3" t="s">
        <v>26</v>
      </c>
      <c r="E7" s="2">
        <v>54</v>
      </c>
      <c r="H7" s="3" t="s">
        <v>38</v>
      </c>
      <c r="I7" s="2">
        <v>70</v>
      </c>
      <c r="J7" t="str">
        <f t="shared" si="0"/>
        <v>Federal Capital Territory</v>
      </c>
      <c r="K7">
        <f t="shared" si="0"/>
        <v>70</v>
      </c>
    </row>
    <row r="8" spans="2:11" x14ac:dyDescent="0.25">
      <c r="B8" s="2">
        <v>247.83823529411765</v>
      </c>
      <c r="D8" s="3" t="s">
        <v>294</v>
      </c>
      <c r="E8" s="2">
        <v>13</v>
      </c>
      <c r="H8" s="3" t="s">
        <v>337</v>
      </c>
      <c r="I8" s="2">
        <v>5</v>
      </c>
      <c r="J8" t="str">
        <f t="shared" si="0"/>
        <v>Imo</v>
      </c>
      <c r="K8">
        <f t="shared" si="0"/>
        <v>5</v>
      </c>
    </row>
    <row r="9" spans="2:11" x14ac:dyDescent="0.25">
      <c r="D9" s="3" t="s">
        <v>58</v>
      </c>
      <c r="E9" s="2">
        <v>60</v>
      </c>
      <c r="H9" s="3" t="s">
        <v>359</v>
      </c>
      <c r="I9" s="2">
        <v>17</v>
      </c>
      <c r="J9" t="str">
        <f t="shared" si="0"/>
        <v>Kaduna</v>
      </c>
      <c r="K9">
        <f t="shared" si="0"/>
        <v>17</v>
      </c>
    </row>
    <row r="10" spans="2:11" x14ac:dyDescent="0.25">
      <c r="D10" s="3" t="s">
        <v>202</v>
      </c>
      <c r="E10" s="2">
        <v>16</v>
      </c>
      <c r="H10" s="3" t="s">
        <v>110</v>
      </c>
      <c r="I10" s="2">
        <v>9</v>
      </c>
      <c r="J10" t="str">
        <f t="shared" si="0"/>
        <v>Kwara</v>
      </c>
      <c r="K10">
        <f t="shared" si="0"/>
        <v>9</v>
      </c>
    </row>
    <row r="11" spans="2:11" x14ac:dyDescent="0.25">
      <c r="B11" t="s">
        <v>2963</v>
      </c>
      <c r="D11" s="3" t="s">
        <v>48</v>
      </c>
      <c r="E11" s="2">
        <v>187</v>
      </c>
      <c r="H11" s="3" t="s">
        <v>24</v>
      </c>
      <c r="I11" s="2">
        <v>295</v>
      </c>
      <c r="J11" t="str">
        <f t="shared" si="0"/>
        <v>Lagos</v>
      </c>
      <c r="K11">
        <f t="shared" si="0"/>
        <v>295</v>
      </c>
    </row>
    <row r="12" spans="2:11" x14ac:dyDescent="0.25">
      <c r="B12" s="5">
        <v>28183.5</v>
      </c>
      <c r="D12" s="3" t="s">
        <v>135</v>
      </c>
      <c r="E12" s="2">
        <v>13</v>
      </c>
      <c r="H12" s="3" t="s">
        <v>257</v>
      </c>
      <c r="I12" s="2">
        <v>9</v>
      </c>
      <c r="J12" t="str">
        <f t="shared" si="0"/>
        <v>Ogun</v>
      </c>
      <c r="K12">
        <f t="shared" si="0"/>
        <v>9</v>
      </c>
    </row>
    <row r="13" spans="2:11" x14ac:dyDescent="0.25">
      <c r="D13" s="3" t="s">
        <v>2967</v>
      </c>
      <c r="E13" s="2">
        <v>421</v>
      </c>
      <c r="H13" s="3" t="s">
        <v>521</v>
      </c>
      <c r="I13" s="2">
        <v>19</v>
      </c>
      <c r="J13" t="str">
        <f t="shared" si="0"/>
        <v>Ondo</v>
      </c>
      <c r="K13">
        <f t="shared" si="0"/>
        <v>19</v>
      </c>
    </row>
    <row r="14" spans="2:11" x14ac:dyDescent="0.25">
      <c r="H14" s="3" t="s">
        <v>101</v>
      </c>
      <c r="I14" s="2">
        <v>50</v>
      </c>
      <c r="J14" t="str">
        <f t="shared" si="0"/>
        <v>Oyo</v>
      </c>
      <c r="K14">
        <f t="shared" si="0"/>
        <v>50</v>
      </c>
    </row>
    <row r="15" spans="2:11" x14ac:dyDescent="0.25">
      <c r="B15" t="s">
        <v>2964</v>
      </c>
      <c r="H15" s="3" t="s">
        <v>128</v>
      </c>
      <c r="I15" s="2">
        <v>6</v>
      </c>
      <c r="J15" t="str">
        <f t="shared" si="0"/>
        <v>Rivers</v>
      </c>
      <c r="K15">
        <f t="shared" si="0"/>
        <v>6</v>
      </c>
    </row>
    <row r="16" spans="2:11" x14ac:dyDescent="0.25">
      <c r="B16" s="6">
        <v>3212.6524390243903</v>
      </c>
      <c r="H16" s="3" t="s">
        <v>2967</v>
      </c>
      <c r="I16" s="2">
        <v>497</v>
      </c>
    </row>
    <row r="17" spans="4:9" x14ac:dyDescent="0.25">
      <c r="D17" t="s">
        <v>2969</v>
      </c>
    </row>
    <row r="18" spans="4:9" x14ac:dyDescent="0.25">
      <c r="D18" s="1" t="s">
        <v>2966</v>
      </c>
      <c r="E18" t="s">
        <v>2965</v>
      </c>
    </row>
    <row r="19" spans="4:9" x14ac:dyDescent="0.25">
      <c r="D19" s="3"/>
      <c r="E19" s="2">
        <v>1</v>
      </c>
    </row>
    <row r="20" spans="4:9" x14ac:dyDescent="0.25">
      <c r="D20" s="3" t="s">
        <v>164</v>
      </c>
      <c r="E20" s="2">
        <v>4</v>
      </c>
      <c r="H20" s="1" t="s">
        <v>2966</v>
      </c>
      <c r="I20" t="s">
        <v>2965</v>
      </c>
    </row>
    <row r="21" spans="4:9" x14ac:dyDescent="0.25">
      <c r="D21" s="3" t="s">
        <v>50</v>
      </c>
      <c r="E21" s="2">
        <v>116</v>
      </c>
      <c r="H21" s="3" t="s">
        <v>36</v>
      </c>
      <c r="I21" s="2">
        <v>470</v>
      </c>
    </row>
    <row r="22" spans="4:9" x14ac:dyDescent="0.25">
      <c r="D22" s="3" t="s">
        <v>63</v>
      </c>
      <c r="E22" s="2">
        <v>42</v>
      </c>
      <c r="H22" s="3" t="s">
        <v>200</v>
      </c>
      <c r="I22" s="2">
        <v>24</v>
      </c>
    </row>
    <row r="23" spans="4:9" x14ac:dyDescent="0.25">
      <c r="D23" s="3" t="s">
        <v>185</v>
      </c>
      <c r="E23" s="2">
        <v>6</v>
      </c>
      <c r="H23" s="3" t="s">
        <v>2967</v>
      </c>
      <c r="I23" s="2">
        <v>494</v>
      </c>
    </row>
    <row r="24" spans="4:9" x14ac:dyDescent="0.25">
      <c r="D24" s="3" t="s">
        <v>511</v>
      </c>
      <c r="E24" s="2">
        <v>1</v>
      </c>
    </row>
    <row r="25" spans="4:9" x14ac:dyDescent="0.25">
      <c r="D25" s="3" t="s">
        <v>145</v>
      </c>
      <c r="E25" s="2">
        <v>13</v>
      </c>
    </row>
    <row r="26" spans="4:9" x14ac:dyDescent="0.25">
      <c r="D26" s="3" t="s">
        <v>97</v>
      </c>
      <c r="E26" s="2">
        <v>89</v>
      </c>
    </row>
    <row r="27" spans="4:9" x14ac:dyDescent="0.25">
      <c r="D27" s="3" t="s">
        <v>54</v>
      </c>
      <c r="E27" s="2">
        <v>12</v>
      </c>
    </row>
    <row r="28" spans="4:9" x14ac:dyDescent="0.25">
      <c r="D28" s="3" t="s">
        <v>71</v>
      </c>
      <c r="E28" s="2">
        <v>1</v>
      </c>
    </row>
    <row r="29" spans="4:9" x14ac:dyDescent="0.25">
      <c r="D29" s="3" t="s">
        <v>508</v>
      </c>
      <c r="E29" s="2">
        <v>1</v>
      </c>
    </row>
    <row r="30" spans="4:9" x14ac:dyDescent="0.25">
      <c r="D30" s="3" t="s">
        <v>842</v>
      </c>
      <c r="E30" s="2">
        <v>1</v>
      </c>
    </row>
    <row r="31" spans="4:9" x14ac:dyDescent="0.25">
      <c r="D31" s="3" t="s">
        <v>1960</v>
      </c>
      <c r="E31" s="2">
        <v>1</v>
      </c>
    </row>
    <row r="32" spans="4:9" x14ac:dyDescent="0.25">
      <c r="D32" s="3" t="s">
        <v>505</v>
      </c>
      <c r="E32" s="2">
        <v>3</v>
      </c>
    </row>
    <row r="33" spans="4:5" x14ac:dyDescent="0.25">
      <c r="D33" s="3" t="s">
        <v>28</v>
      </c>
      <c r="E33" s="2">
        <v>54</v>
      </c>
    </row>
    <row r="34" spans="4:5" x14ac:dyDescent="0.25">
      <c r="D34" s="3" t="s">
        <v>60</v>
      </c>
      <c r="E34" s="2">
        <v>81</v>
      </c>
    </row>
    <row r="35" spans="4:5" x14ac:dyDescent="0.25">
      <c r="D35" s="3" t="s">
        <v>42</v>
      </c>
      <c r="E35" s="2">
        <v>70</v>
      </c>
    </row>
    <row r="36" spans="4:5" x14ac:dyDescent="0.25">
      <c r="D36" s="3" t="s">
        <v>1912</v>
      </c>
      <c r="E36" s="2">
        <v>1</v>
      </c>
    </row>
    <row r="37" spans="4:5" x14ac:dyDescent="0.25">
      <c r="D37" s="3" t="s">
        <v>2967</v>
      </c>
      <c r="E37" s="2">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C1ED-4928-408C-B172-F4DF077018FD}">
  <dimension ref="A1"/>
  <sheetViews>
    <sheetView showGridLines="0" tabSelected="1" topLeftCell="D1" zoomScale="70" zoomScaleNormal="70" workbookViewId="0">
      <selection activeCell="U34" sqref="U34"/>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4B1291-8374-4C0D-AAD2-5B0A2F079B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car45_data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Precious Agboola</dc:creator>
  <cp:lastModifiedBy>Precious Agboola</cp:lastModifiedBy>
  <dcterms:created xsi:type="dcterms:W3CDTF">2025-08-24T23:49:15Z</dcterms:created>
  <dcterms:modified xsi:type="dcterms:W3CDTF">2025-09-09T13:16:18Z</dcterms:modified>
</cp:coreProperties>
</file>